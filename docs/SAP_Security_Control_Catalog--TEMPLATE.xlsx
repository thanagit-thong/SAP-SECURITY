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htdk\Downloads\"/>
    </mc:Choice>
  </mc:AlternateContent>
  <xr:revisionPtr revIDLastSave="0" documentId="13_ncr:1_{948AD5C7-5C74-4CB5-832C-3F3A43711256}" xr6:coauthVersionLast="47" xr6:coauthVersionMax="47" xr10:uidLastSave="{00000000-0000-0000-0000-000000000000}"/>
  <bookViews>
    <workbookView xWindow="54495" yWindow="0" windowWidth="26010" windowHeight="20985" tabRatio="500" xr2:uid="{00000000-000D-0000-FFFF-FFFF00000000}"/>
  </bookViews>
  <sheets>
    <sheet name="Overview" sheetId="1" r:id="rId1"/>
    <sheet name="Control Catalog" sheetId="2" r:id="rId2"/>
    <sheet name="Summary"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31" i="3" l="1"/>
  <c r="D30" i="3"/>
  <c r="D29" i="3"/>
  <c r="D28" i="3"/>
  <c r="D27" i="3"/>
  <c r="D26" i="3"/>
  <c r="D25" i="3"/>
  <c r="D24" i="3"/>
  <c r="D23" i="3"/>
  <c r="D22" i="3"/>
  <c r="D21" i="3"/>
  <c r="D20" i="3"/>
  <c r="D19" i="3"/>
  <c r="D18" i="3"/>
  <c r="D17" i="3"/>
  <c r="D16" i="3"/>
  <c r="D11" i="3"/>
  <c r="D10" i="3"/>
  <c r="D9" i="3"/>
  <c r="D8" i="3"/>
  <c r="D7" i="3"/>
  <c r="D12" i="3" s="1"/>
</calcChain>
</file>

<file path=xl/sharedStrings.xml><?xml version="1.0" encoding="utf-8"?>
<sst xmlns="http://schemas.openxmlformats.org/spreadsheetml/2006/main" count="1152" uniqueCount="697">
  <si>
    <t>SAP Security Control Catalog</t>
  </si>
  <si>
    <t>Reference model: SAP Secure Operations Map (Version 2)</t>
  </si>
  <si>
    <t>This catalog operationalizes SAP's Secure Operations Map into 96 auditable controls. The Map organizes SAP security into five layers, from foundational infrastructure up to organizational governance, each built on the one below it -- like courses of bricks in a defensive wall. Each layer breaks down into building blocks; each building block below carries controls in the 'Control Catalog' tab, referenced by Control ID.</t>
  </si>
  <si>
    <t>Layer (top → foundation)</t>
  </si>
  <si>
    <t>Building Blocks</t>
  </si>
  <si>
    <t>Focus</t>
  </si>
  <si>
    <t>Organization</t>
  </si>
  <si>
    <t>• Security Governance
• Risk Management
• Awareness</t>
  </si>
  <si>
    <t>Strategic layer. Ownership, policy, risk appetite and culture that steer everything below it: who is accountable, how risk is tracked, and how the organization keeps people security-aware.</t>
  </si>
  <si>
    <t>Process</t>
  </si>
  <si>
    <t>• Regulatory Process &amp; Compliance
• Data Privacy &amp; Protection
• Audit &amp; Fraud Management</t>
  </si>
  <si>
    <t>Business-process layer. Ensures SAP-supported processes meet legal, regulatory and data-protection obligations and that fraud/misuse can be detected and investigated.</t>
  </si>
  <si>
    <t>Application</t>
  </si>
  <si>
    <t>• User &amp; Identity Management
• Authentication &amp; Single Sign-On
• Roles &amp; Authorizations
• Custom Code Security</t>
  </si>
  <si>
    <t>SAP application layer. Controls who can log on, what they are authorized to do, and whether custom developments introduce risk.</t>
  </si>
  <si>
    <t>System</t>
  </si>
  <si>
    <t>• Security Hardening
• Secure SAP Code
• Security Monitoring &amp; Forensics</t>
  </si>
  <si>
    <t>SAP platform layer. Secure configuration of the SAP stack itself, patching against known vulnerabilities, and monitoring for attacks.</t>
  </si>
  <si>
    <t>Environment</t>
  </si>
  <si>
    <t>• Network Security
• Operating System &amp; Database Security
• Client Security</t>
  </si>
  <si>
    <t>Foundation layer. Non-SAP technical infrastructure underneath and around SAP: network, OS/DB and client endpoints. Weaknesses here can undermine every control layered above.</t>
  </si>
  <si>
    <t>How to read the Control Catalog tab</t>
  </si>
  <si>
    <t>Control ID</t>
  </si>
  <si>
    <t>Layer abbreviation - Building block abbreviation - sequence, e.g. APP-ROL-03 = Application layer, Roles &amp; Authorizations, control 3.</t>
  </si>
  <si>
    <t>Control Type</t>
  </si>
  <si>
    <t>Preventive (stops an event), Detective (identifies it after the fact), Corrective (fixes/limits impact), or Directive (sets policy/expectation).</t>
  </si>
  <si>
    <t>Control Nature</t>
  </si>
  <si>
    <t>Manual (human-performed), Semi-Automated (system-assisted, human-reviewed), or Automated (system-enforced/system-detected).</t>
  </si>
  <si>
    <t>Frequency</t>
  </si>
  <si>
    <t>Suggested operating cadence. Adjust to your organization's risk appetite and audit cycle.</t>
  </si>
  <si>
    <t>Relevant SAP Tools / T-Codes</t>
  </si>
  <si>
    <t>Representative transactions, tools or components typically used to implement or evidence the control -- not exhaustive.</t>
  </si>
  <si>
    <t>Risk Addressed</t>
  </si>
  <si>
    <t>The security or compliance risk the control is designed to mitigate.</t>
  </si>
  <si>
    <t>Evidence / Audit Artifact</t>
  </si>
  <si>
    <t>Example artifact an auditor or control owner could request to demonstrate the control operated.</t>
  </si>
  <si>
    <t>Source / reference: SAP Secure Operations Map (SAP SE), as summarized in SAP's public Secure Operations Map materials and SAP Enterprise Support security value maps. Control wording, IDs, prioritization and evidence examples in this workbook were authored to operationalize that reference model and are not an official SAP publication -- validate against current SAP guidance and your own regulatory context before adoption.</t>
  </si>
  <si>
    <t>Layer</t>
  </si>
  <si>
    <t>Building Block</t>
  </si>
  <si>
    <t>Control Objective</t>
  </si>
  <si>
    <t>Control Description</t>
  </si>
  <si>
    <t>ORG-AWA-01</t>
  </si>
  <si>
    <t>Awareness</t>
  </si>
  <si>
    <t>Build a security-conscious user base</t>
  </si>
  <si>
    <t>Deliver role-based security awareness training (end users, Basis administrators, developers, business process owners) covering SAP-relevant risks and responsibilities.</t>
  </si>
  <si>
    <t>Preventive</t>
  </si>
  <si>
    <t>Manual / Semi-Automated</t>
  </si>
  <si>
    <t>Annual; event-driven (onboarding)</t>
  </si>
  <si>
    <t>LMS training modules</t>
  </si>
  <si>
    <t>User behavior undermining technical controls (e.g., credential sharing, phishing susceptibility)</t>
  </si>
  <si>
    <t>Training completion records</t>
  </si>
  <si>
    <t>ORG-AWA-02</t>
  </si>
  <si>
    <t>Test and reinforce phishing/social-engineering resilience</t>
  </si>
  <si>
    <t>Run periodic phishing and social engineering simulation exercises relevant to SAP access scenarios, with targeted follow-up training for those who fall for simulations.</t>
  </si>
  <si>
    <t>Detective</t>
  </si>
  <si>
    <t>Semi-Automated</t>
  </si>
  <si>
    <t>Quarterly/Semi-Annual</t>
  </si>
  <si>
    <t>Phishing simulation platform</t>
  </si>
  <si>
    <t>Successful social engineering leading to credential compromise</t>
  </si>
  <si>
    <t>Simulation results and follow-up training log</t>
  </si>
  <si>
    <t>ORG-AWA-03</t>
  </si>
  <si>
    <t>Set expectations from day one for sensitive access</t>
  </si>
  <si>
    <t>Provide a dedicated security briefing for new users receiving privileged or sensitive SAP access as part of onboarding.</t>
  </si>
  <si>
    <t>Manual</t>
  </si>
  <si>
    <t>Event-driven</t>
  </si>
  <si>
    <t>Onboarding checklist</t>
  </si>
  <si>
    <t>New privileged users unaware of specific obligations/risks</t>
  </si>
  <si>
    <t>Onboarding briefing sign-off</t>
  </si>
  <si>
    <t>ORG-AWA-04</t>
  </si>
  <si>
    <t>Keep the organization current on policy and incident learnings</t>
  </si>
  <si>
    <t>Regularly communicate security policy updates and lessons learned from incidents/near-misses to relevant SAP user and administrator populations.</t>
  </si>
  <si>
    <t>Quarterly; event-driven</t>
  </si>
  <si>
    <t>Communication channels/newsletters</t>
  </si>
  <si>
    <t>Repeat incidents resulting from unaddressed root causes</t>
  </si>
  <si>
    <t>Communication archive</t>
  </si>
  <si>
    <t>ORG-AWA-05</t>
  </si>
  <si>
    <t>Measure whether awareness efforts are effective</t>
  </si>
  <si>
    <t>Track training completion rates, simulation results and (where feasible) behavior metrics to assess and improve awareness program effectiveness.</t>
  </si>
  <si>
    <t>Quarterly</t>
  </si>
  <si>
    <t>LMS reporting, awareness dashboard</t>
  </si>
  <si>
    <t>Ongoing investment in an awareness program without evidence of effectiveness</t>
  </si>
  <si>
    <t>Awareness metrics report</t>
  </si>
  <si>
    <t>ORG-AWA-06</t>
  </si>
  <si>
    <t>Reduce vulnerabilities introduced by developers</t>
  </si>
  <si>
    <t>Provide specialized secure-coding training for ABAP/UI5 developers, refreshed periodically and aligned to findings from code scanning tools.</t>
  </si>
  <si>
    <t>Annual</t>
  </si>
  <si>
    <t>Developer training curriculum</t>
  </si>
  <si>
    <t>Recurring vulnerability classes stemming from untrained developers</t>
  </si>
  <si>
    <t>Developer training completion record</t>
  </si>
  <si>
    <t>ORG-RSK-01</t>
  </si>
  <si>
    <t>Risk Management</t>
  </si>
  <si>
    <t>Maintain visibility of SAP-specific risk</t>
  </si>
  <si>
    <t>Maintain a risk register for SAP security risks, integrated with the organization's Enterprise Risk Management process and reviewed by risk owners.</t>
  </si>
  <si>
    <t>Directive</t>
  </si>
  <si>
    <t>ERM/GRC risk register</t>
  </si>
  <si>
    <t>SAP-specific risks not visible at the enterprise risk level</t>
  </si>
  <si>
    <t>Risk register extract</t>
  </si>
  <si>
    <t>ORG-RSK-02</t>
  </si>
  <si>
    <t>Identify exploitable weaknesses before attackers do</t>
  </si>
  <si>
    <t>Perform periodic vulnerability assessments and penetration tests of the SAP landscape (external, internal and application-layer) using qualified testers.</t>
  </si>
  <si>
    <t>Annual; event-driven</t>
  </si>
  <si>
    <t>VA/PT tooling and methodology</t>
  </si>
  <si>
    <t>Unknown exploitable vulnerabilities remaining in production</t>
  </si>
  <si>
    <t>VA/PT report and remediation plan</t>
  </si>
  <si>
    <t>ORG-RSK-03</t>
  </si>
  <si>
    <t>Focus remediation effort where risk is highest</t>
  </si>
  <si>
    <t>Apply a risk-based prioritization methodology to remediation of identified vulnerabilities and control gaps, factoring exploitability and business impact.</t>
  </si>
  <si>
    <t>Continuous (per finding)</t>
  </si>
  <si>
    <t>Risk scoring methodology</t>
  </si>
  <si>
    <t>Remediation effort misallocated to lower-impact issues</t>
  </si>
  <si>
    <t>Prioritized remediation backlog</t>
  </si>
  <si>
    <t>ORG-RSK-04</t>
  </si>
  <si>
    <t>Understand criticality to inform control investment</t>
  </si>
  <si>
    <t>Classify SAP systems by business criticality and data sensitivity (business impact analysis) to calibrate the intensity of security controls applied.</t>
  </si>
  <si>
    <t>Business Impact Analysis (BIA) methodology</t>
  </si>
  <si>
    <t>Under- or over-investment in controls relative to actual system criticality</t>
  </si>
  <si>
    <t>BIA/criticality classification document</t>
  </si>
  <si>
    <t>ORG-RSK-05</t>
  </si>
  <si>
    <t>Manage risk introduced by SAP add-ons and integrations</t>
  </si>
  <si>
    <t>Assess third-party SAP add-ons, ISV solutions and integration partners for security risk prior to onboarding and periodically thereafter.</t>
  </si>
  <si>
    <t>Event-driven; annual review</t>
  </si>
  <si>
    <t>Vendor/supply-chain risk assessment</t>
  </si>
  <si>
    <t>Vulnerabilities introduced via third-party code/integrations</t>
  </si>
  <si>
    <t>Vendor risk assessment record</t>
  </si>
  <si>
    <t>ORG-RSK-06</t>
  </si>
  <si>
    <t>Ensure resilience of SAP operations</t>
  </si>
  <si>
    <t>Maintain and periodically test business continuity and disaster recovery plans for critical SAP systems, including backup integrity and recovery time validation.</t>
  </si>
  <si>
    <t>Corrective</t>
  </si>
  <si>
    <t>Annual test</t>
  </si>
  <si>
    <t>BCP/DR plan, backup/recovery tooling</t>
  </si>
  <si>
    <t>Extended outage or data loss from untested recovery capability</t>
  </si>
  <si>
    <t>DR test report</t>
  </si>
  <si>
    <t>ORG-GOV-01</t>
  </si>
  <si>
    <t>Security Governance</t>
  </si>
  <si>
    <t>Establish clear ownership and direction for SAP security</t>
  </si>
  <si>
    <t>Define, approve and maintain an SAP security policy and supporting standards, sponsored by the CISO/security leadership and endorsed by IT/business management.</t>
  </si>
  <si>
    <t>Annual review</t>
  </si>
  <si>
    <t>Policy management system</t>
  </si>
  <si>
    <t>Inconsistent or absent security direction across the SAP landscape</t>
  </si>
  <si>
    <t>Approved policy document</t>
  </si>
  <si>
    <t>ORG-GOV-02</t>
  </si>
  <si>
    <t>Ensure accountability for security operations</t>
  </si>
  <si>
    <t>Define and document roles and responsibilities (RACI) for SAP security tasks spanning Basis, security administration, application owners and audit.</t>
  </si>
  <si>
    <t>RACI matrix</t>
  </si>
  <si>
    <t>Gaps or duplication in security responsibilities</t>
  </si>
  <si>
    <t>RACI documentation</t>
  </si>
  <si>
    <t>ORG-GOV-03</t>
  </si>
  <si>
    <t>Maintain visibility of the SAP security architecture</t>
  </si>
  <si>
    <t>Keep landscape and security architecture documentation (system inventory, interfaces, trust relationships, data flows) current and accessible.</t>
  </si>
  <si>
    <t>CMDB, architecture repository</t>
  </si>
  <si>
    <t>Decisions made on outdated or incomplete landscape knowledge</t>
  </si>
  <si>
    <t>Updated architecture documentation</t>
  </si>
  <si>
    <t>ORG-GOV-04</t>
  </si>
  <si>
    <t>Provide a forum for security decisions and exceptions</t>
  </si>
  <si>
    <t>Operate a governance forum/steering committee that reviews security posture, approves policy exceptions, and prioritizes remediation investment.</t>
  </si>
  <si>
    <t>Governance forum charter, meeting minutes</t>
  </si>
  <si>
    <t>Unmanaged risk acceptance or unresolved cross-team conflicts</t>
  </si>
  <si>
    <t>Meeting minutes, exception register</t>
  </si>
  <si>
    <t>ORG-GOV-05</t>
  </si>
  <si>
    <t>Enable data-driven security management</t>
  </si>
  <si>
    <t>Define, track and report SAP security KPIs/metrics (e.g., patch SLA adherence, SoD conflict count, open vulnerabilities) to management on a regular cadence.</t>
  </si>
  <si>
    <t>Monthly/Quarterly</t>
  </si>
  <si>
    <t>Security dashboard/reporting tooling</t>
  </si>
  <si>
    <t>Lack of management visibility into security posture and trends</t>
  </si>
  <si>
    <t>KPI dashboard/report</t>
  </si>
  <si>
    <t>ORG-GOV-06</t>
  </si>
  <si>
    <t>Extend governance to third parties</t>
  </si>
  <si>
    <t>Incorporate SAP security requirements into contracts and SLAs with hosting/managed-service/RISE with SAP providers and other third parties, with periodic compliance review.</t>
  </si>
  <si>
    <t>Annual; event-driven (contract renewal)</t>
  </si>
  <si>
    <t>Contract management, vendor security review</t>
  </si>
  <si>
    <t>Security gaps introduced by third parties outside direct control</t>
  </si>
  <si>
    <t>Contract clauses, vendor review report</t>
  </si>
  <si>
    <t>PRC-AFM-01</t>
  </si>
  <si>
    <t>Audit &amp; Fraud Management</t>
  </si>
  <si>
    <t>Proactively surface indicators of fraud</t>
  </si>
  <si>
    <t>Deploy continuous controls monitoring rules targeting known fraud indicators (duplicate invoices/payments, unusual master data changes, weekend/after-hours postings).</t>
  </si>
  <si>
    <t>Automated</t>
  </si>
  <si>
    <t>Continuous</t>
  </si>
  <si>
    <t>GRC Process Control, continuous controls monitoring tooling</t>
  </si>
  <si>
    <t>Financial fraud or leakage going undetected</t>
  </si>
  <si>
    <t>CCM exception report</t>
  </si>
  <si>
    <t>PRC-AFM-02</t>
  </si>
  <si>
    <t>Preserve a reliable trail of sensitive changes</t>
  </si>
  <si>
    <t>Enable and retain change logging for master data (vendor bank details, customer credit limits) and other fraud-sensitive objects, protected from tampering.</t>
  </si>
  <si>
    <t>Change document logging (CDHDR/CDPOS), table logging</t>
  </si>
  <si>
    <t>Inability to investigate or prove fraudulent master data manipulation</t>
  </si>
  <si>
    <t>Change log extract</t>
  </si>
  <si>
    <t>PRC-AFM-03</t>
  </si>
  <si>
    <t>Understand and prioritize fraud exposure by process</t>
  </si>
  <si>
    <t>Conduct periodic fraud risk assessments of key SAP-supported business processes, updating control design where new fraud schemes are identified.</t>
  </si>
  <si>
    <t>Fraud risk assessment framework</t>
  </si>
  <si>
    <t>Emerging fraud schemes not covered by existing controls</t>
  </si>
  <si>
    <t>Fraud risk assessment report</t>
  </si>
  <si>
    <t>PRC-AFM-04</t>
  </si>
  <si>
    <t>Enable timely escalation of suspected fraud/control violations</t>
  </si>
  <si>
    <t>Maintain an escalation and investigation process (linked to the whistleblowing channel) triggered by detected control violations or anomaly alerts from SAP monitoring.</t>
  </si>
  <si>
    <t>Whistleblower system, case management</t>
  </si>
  <si>
    <t>Delayed response allowing continued loss</t>
  </si>
  <si>
    <t>Case management log</t>
  </si>
  <si>
    <t>PRC-AFM-05</t>
  </si>
  <si>
    <t>Support external/internal audit evidentiary needs</t>
  </si>
  <si>
    <t>Ensure audit logs and change history required for audit are complete, retained per policy, and readily retrievable on request.</t>
  </si>
  <si>
    <t>Continuous; annual verification</t>
  </si>
  <si>
    <t>Log retention configuration, archiving</t>
  </si>
  <si>
    <t>Audit scope limitation resulting from missing or incomplete log evidence</t>
  </si>
  <si>
    <t>Log retention policy, sample retrieval test</t>
  </si>
  <si>
    <t>PRC-AFM-06</t>
  </si>
  <si>
    <t>Provide independent oversight of access and activity logs</t>
  </si>
  <si>
    <t>Have an independent function (internal audit or security) periodically review privileged access and sensitive transaction logs outside of the operational team that generated them.</t>
  </si>
  <si>
    <t>Independent log review procedure</t>
  </si>
  <si>
    <t>Self-review bias leaving misuse undetected</t>
  </si>
  <si>
    <t>Independent review report</t>
  </si>
  <si>
    <t>PRC-DPP-01</t>
  </si>
  <si>
    <t>Data Privacy &amp; Protection</t>
  </si>
  <si>
    <t>Understand where regulated personal data resides</t>
  </si>
  <si>
    <t>Identify and classify personal/sensitive data held within SAP systems, documenting data categories, purpose and legal basis for processing.</t>
  </si>
  <si>
    <t>Data classification tooling, Information Lifecycle Management (ILM)</t>
  </si>
  <si>
    <t>Inability to demonstrate compliance or respond to data subject requests</t>
  </si>
  <si>
    <t>Data inventory/classification register</t>
  </si>
  <si>
    <t>PRC-DPP-02</t>
  </si>
  <si>
    <t>Limit collection and exposure of personal data to what is necessary</t>
  </si>
  <si>
    <t>Apply data minimization controls such as field-level access restriction and data masking/anonymization for non-essential display of personal data, particularly in non-production systems.</t>
  </si>
  <si>
    <t>Annual review; event-driven (refresh)</t>
  </si>
  <si>
    <t>Data masking/scrambling tools, authorization field restriction</t>
  </si>
  <si>
    <t>Excessive exposure of personal data increasing breach impact</t>
  </si>
  <si>
    <t>Masking configuration, test system data sample review</t>
  </si>
  <si>
    <t>PRC-DPP-03</t>
  </si>
  <si>
    <t>Retain and dispose of personal data per legal requirement</t>
  </si>
  <si>
    <t>Configure retention rules and blocking/deletion procedures (via ILM or archiving) so personal data is not kept beyond its legally required or business-justified retention period.</t>
  </si>
  <si>
    <t>Continuous (policy-driven); annual review</t>
  </si>
  <si>
    <t>SAP ILM, archiving</t>
  </si>
  <si>
    <t>Non-compliance with data minimization/retention obligations (e.g., GDPR)</t>
  </si>
  <si>
    <t>Retention policy configuration, deletion run log</t>
  </si>
  <si>
    <t>PRC-DPP-04</t>
  </si>
  <si>
    <t>Detect inappropriate access to personal data</t>
  </si>
  <si>
    <t>Enable Read Access Logging for defined sensitive personal-data fields and review access patterns for anomalies or unjustified access.</t>
  </si>
  <si>
    <t>Continuous; monthly review</t>
  </si>
  <si>
    <t>Read Access Logging (RAL)</t>
  </si>
  <si>
    <t>Undetected unauthorized viewing of personal data</t>
  </si>
  <si>
    <t>RAL review report</t>
  </si>
  <si>
    <t>PRC-DPP-05</t>
  </si>
  <si>
    <t>Fulfil data subject rights obligations</t>
  </si>
  <si>
    <t>Maintain a defined process and supporting SAP tooling to respond to data subject access, rectification and erasure requests within required timeframes.</t>
  </si>
  <si>
    <t>SAP Data Subject Access Request tooling / ILM</t>
  </si>
  <si>
    <t>Missed statutory deadlines for data subject requests</t>
  </si>
  <si>
    <t>DSAR case log, response records</t>
  </si>
  <si>
    <t>PRC-DPP-06</t>
  </si>
  <si>
    <t>Assess privacy risk before new processing activities go live</t>
  </si>
  <si>
    <t>Perform Data Protection Impact Assessments (DPIA) for new SAP functionality, interfaces or reports that introduce new processing of personal data.</t>
  </si>
  <si>
    <t>Event-driven (per project)</t>
  </si>
  <si>
    <t>DPIA template/process</t>
  </si>
  <si>
    <t>Privacy risk introduced by new processing activity without required legal/privacy review</t>
  </si>
  <si>
    <t>Completed DPIA documentation</t>
  </si>
  <si>
    <t>PRC-REG-01</t>
  </si>
  <si>
    <t>Regulatory Process &amp; Compliance</t>
  </si>
  <si>
    <t>Translate regulatory obligations into SAP control requirements</t>
  </si>
  <si>
    <t>Map applicable regulations (SOX, Basel III/IV, HIPAA, industry-specific rules) to specific SAP business process and IT controls, maintained in a control matrix.</t>
  </si>
  <si>
    <t>Annual; event-driven on new regulation</t>
  </si>
  <si>
    <t>Control matrix / GRC Process Control</t>
  </si>
  <si>
    <t>Regulatory non-compliance due to unmapped requirements</t>
  </si>
  <si>
    <t>Regulatory-to-control mapping document</t>
  </si>
  <si>
    <t>PRC-REG-02</t>
  </si>
  <si>
    <t>Enforce process-level financial and operational integrity</t>
  </si>
  <si>
    <t>Configure application controls supporting regulatory intent (e.g., three-way match, dual control/four-eyes approval, tolerance limits) within relevant business processes (P2P, O2C, financial close).</t>
  </si>
  <si>
    <t>Continuous (system-enforced)</t>
  </si>
  <si>
    <t>SAP process configuration (MM/FI/SD), workflow approvals</t>
  </si>
  <si>
    <t>Financial misstatement or unauthorized transactions</t>
  </si>
  <si>
    <t>Process configuration documentation, test evidence</t>
  </si>
  <si>
    <t>PRC-REG-03</t>
  </si>
  <si>
    <t>Provide ongoing assurance over control effectiveness</t>
  </si>
  <si>
    <t>Perform periodic internal control self-assessment/testing against the documented control matrix, including walkthroughs and sample testing.</t>
  </si>
  <si>
    <t>Quarterly/Annual</t>
  </si>
  <si>
    <t>GRC Process Control, internal audit test plans</t>
  </si>
  <si>
    <t>Control failures going undetected until external audit or an incident</t>
  </si>
  <si>
    <t>Test scripts and results</t>
  </si>
  <si>
    <t>PRC-REG-04</t>
  </si>
  <si>
    <t>Maintain an SoD framework aligned to regulatory risk</t>
  </si>
  <si>
    <t>Maintain and continuously monitor a segregation-of-duties risk matrix reflecting regulatory requirements (e.g., SOX-relevant conflicts) across relevant business processes.</t>
  </si>
  <si>
    <t>Preventive / Detective</t>
  </si>
  <si>
    <t>Continuous; quarterly review</t>
  </si>
  <si>
    <t>GRC Access Control</t>
  </si>
  <si>
    <t>Regulatory findings arising from unmitigated SoD conflicts</t>
  </si>
  <si>
    <t>SoD matrix, monitoring report</t>
  </si>
  <si>
    <t>PRC-REG-05</t>
  </si>
  <si>
    <t>Demonstrate IT General Control effectiveness</t>
  </si>
  <si>
    <t>Document and test IT General Controls covering change management, logical access and computer operations for the SAP landscape, in support of external/internal audit.</t>
  </si>
  <si>
    <t>ITGC test matrix</t>
  </si>
  <si>
    <t>Audit findings or a qualified opinion resulting from ineffective ITGCs</t>
  </si>
  <si>
    <t>ITGC test workpapers</t>
  </si>
  <si>
    <t>PRC-REG-06</t>
  </si>
  <si>
    <t>Support timely and complete external audit or regulatory examination</t>
  </si>
  <si>
    <t>Establish a coordination point of contact and a standard evidence-request fulfillment process for external auditors and regulators covering SAP application and IT general controls.</t>
  </si>
  <si>
    <t>Audit coordination tracker</t>
  </si>
  <si>
    <t>Delayed or incomplete response to a regulatory examination or external audit</t>
  </si>
  <si>
    <t>Audit request log, prepared-by-client (PBC) tracker</t>
  </si>
  <si>
    <t>APP-AUT-01</t>
  </si>
  <si>
    <t>Authentication &amp; Single Sign-On</t>
  </si>
  <si>
    <t>Enforce strong credential requirements</t>
  </si>
  <si>
    <t>Configure password policy profile parameters (minimum length/complexity, history, expiration, lockout) in line with the organizational standard.</t>
  </si>
  <si>
    <t>RZ10/RZ11 login parameters</t>
  </si>
  <si>
    <t>Credential compromise via weak or guessable passwords</t>
  </si>
  <si>
    <t>Parameter configuration export</t>
  </si>
  <si>
    <t>APP-AUT-02</t>
  </si>
  <si>
    <t>Reduce reliance on single-factor authentication for sensitive access</t>
  </si>
  <si>
    <t>Implement multi-factor authentication for administrative access, remote access and other high-risk logon scenarios.</t>
  </si>
  <si>
    <t>Annual review; event-driven</t>
  </si>
  <si>
    <t>MFA integrated via SAML2/SPNego</t>
  </si>
  <si>
    <t>Account takeover via stolen single-factor credentials</t>
  </si>
  <si>
    <t>MFA enrollment report</t>
  </si>
  <si>
    <t>APP-AUT-03</t>
  </si>
  <si>
    <t>Centralize and simplify secure authentication</t>
  </si>
  <si>
    <t>Deploy Single Sign-On (SAML2, X.509 certificates, or Kerberos/SPNego) to reduce direct password transmission/storage and enable centralized authentication policy.</t>
  </si>
  <si>
    <t>Event-driven (implementation); annual review</t>
  </si>
  <si>
    <t>SAP Identity Authentication Service, SPNego, X.509</t>
  </si>
  <si>
    <t>Password sprawl and inconsistent authentication strength</t>
  </si>
  <si>
    <t>SSO configuration documentation</t>
  </si>
  <si>
    <t>APP-AUT-04</t>
  </si>
  <si>
    <t>Protect trust relationships between systems</t>
  </si>
  <si>
    <t>Review and restrict RFC trusted-system relationships and SNC identities so that trust is granted only where justified and documented.</t>
  </si>
  <si>
    <t>SMT1/SMT2, SNC identity mapping</t>
  </si>
  <si>
    <t>Trust relationship abuse enabling lateral movement across systems</t>
  </si>
  <si>
    <t>Trust relationship inventory, review sign-off</t>
  </si>
  <si>
    <t>APP-AUT-05</t>
  </si>
  <si>
    <t>Limit exposure from unattended or hijacked sessions</t>
  </si>
  <si>
    <t>Enforce session timeout, restrict concurrent/multiple logons where appropriate, and set secure cookie/session attributes for web-based access.</t>
  </si>
  <si>
    <t>Session parameters, ICM configuration</t>
  </si>
  <si>
    <t>Session hijacking or misuse of an unattended session</t>
  </si>
  <si>
    <t>Session parameter export</t>
  </si>
  <si>
    <t>APP-AUT-06</t>
  </si>
  <si>
    <t>Detect authentication anomalies</t>
  </si>
  <si>
    <t>Monitor and alert on repeated failed logons, logons from unusual locations/times, and use of emergency/service accounts for interactive logon.</t>
  </si>
  <si>
    <t>Security Audit Log, SIEM</t>
  </si>
  <si>
    <t>Undetected brute-force or credential-stuffing attempts</t>
  </si>
  <si>
    <t>Failed logon report, alert log</t>
  </si>
  <si>
    <t>APP-CCS-01</t>
  </si>
  <si>
    <t>Custom Code Security</t>
  </si>
  <si>
    <t>Identify vulnerabilities in custom ABAP before release</t>
  </si>
  <si>
    <t>Run static application security testing (Code Vulnerability Analyzer / SAST) on all custom ABAP developments as a mandatory step prior to transport into production.</t>
  </si>
  <si>
    <t>Event-driven (per transport)</t>
  </si>
  <si>
    <t>Code Vulnerability Analyzer (CVA), ABAP Test Cockpit</t>
  </si>
  <si>
    <t>Injection or other exploitable flaws shipped into production custom code</t>
  </si>
  <si>
    <t>CVA scan report, sign-off</t>
  </si>
  <si>
    <t>APP-CCS-02</t>
  </si>
  <si>
    <t>Establish a consistent secure coding baseline</t>
  </si>
  <si>
    <t>Define and train developers on secure ABAP coding guidelines (input validation, avoiding dynamic SQL/CALL, output encoding) as part of the development standard.</t>
  </si>
  <si>
    <t>Annual refresh</t>
  </si>
  <si>
    <t>Secure coding guideline, developer training</t>
  </si>
  <si>
    <t>Recurring vulnerability classes introduced by inconsistent coding practice</t>
  </si>
  <si>
    <t>Guideline document, training completion record</t>
  </si>
  <si>
    <t>APP-CCS-03</t>
  </si>
  <si>
    <t>Ensure independent verification before go-live</t>
  </si>
  <si>
    <t>Require mandatory code review and security sign-off (peer or dedicated security reviewer) as a gate in the change management process for custom developments.</t>
  </si>
  <si>
    <t>Event-driven (per change)</t>
  </si>
  <si>
    <t>Change management workflow, code review checklist</t>
  </si>
  <si>
    <t>Insecure code released due to lack of independent review</t>
  </si>
  <si>
    <t>Code review record, approval in change ticket</t>
  </si>
  <si>
    <t>APP-CCS-04</t>
  </si>
  <si>
    <t>Prevent uncontrolled direct changes in production</t>
  </si>
  <si>
    <t>Disable direct developer access to change objects (SE38/SE80/SE11) in production clients; require all changes to flow through the development-QA-production transport landscape.</t>
  </si>
  <si>
    <t>SCC4 client settings, transport route configuration</t>
  </si>
  <si>
    <t>Untested or undocumented changes made directly in production</t>
  </si>
  <si>
    <t>Client settings export, transport route documentation</t>
  </si>
  <si>
    <t>APP-CCS-05</t>
  </si>
  <si>
    <t>Manage risk in the existing custom code base</t>
  </si>
  <si>
    <t>Periodically re-scan the full custom code inventory against updated vulnerability signatures/rules to catch issues not covered when the code was originally written.</t>
  </si>
  <si>
    <t>CVA, ABAP Test Cockpit baseline scans</t>
  </si>
  <si>
    <t>Legacy custom code harboring newly disclosed vulnerability patterns</t>
  </si>
  <si>
    <t>Rescan report, remediation backlog</t>
  </si>
  <si>
    <t>APP-CCS-06</t>
  </si>
  <si>
    <t>Control use of high-risk language constructs</t>
  </si>
  <si>
    <t>Monitor and restrict use of critical/high-risk ABAP statements (dynamic SQL, CALL TRANSACTION/SUBMIT without authority-check, client-specific bypasses) in custom code.</t>
  </si>
  <si>
    <t>Event-driven (per scan)</t>
  </si>
  <si>
    <t>ABAP Test Cockpit rule set</t>
  </si>
  <si>
    <t>Authorization bypass or injection via risky code constructs</t>
  </si>
  <si>
    <t>ATC finding report</t>
  </si>
  <si>
    <t>APP-ROL-01</t>
  </si>
  <si>
    <t>Roles &amp; Authorizations</t>
  </si>
  <si>
    <t>Enforce least privilege in role design</t>
  </si>
  <si>
    <t>Design and build authorization roles using least-privilege principles derived from documented business role requirements, avoiding broad/generic access.</t>
  </si>
  <si>
    <t>Event-driven (role build/change)</t>
  </si>
  <si>
    <t>PFCG, role design methodology</t>
  </si>
  <si>
    <t>Over-privileged roles increasing the impact of compromise or error</t>
  </si>
  <si>
    <t>Role design documentation, authorization matrix</t>
  </si>
  <si>
    <t>APP-ROL-02</t>
  </si>
  <si>
    <t>Prevent and remediate segregation-of-duties conflicts</t>
  </si>
  <si>
    <t>Run periodic SoD risk analysis across users/roles and remediate or formally mitigate (with a compensating control) identified conflicts.</t>
  </si>
  <si>
    <t>Detective / Corrective</t>
  </si>
  <si>
    <t>GRC Access Control - Access Risk Analysis</t>
  </si>
  <si>
    <t>Fraud or error enabled by conflicting access combinations</t>
  </si>
  <si>
    <t>SoD analysis report, mitigation records</t>
  </si>
  <si>
    <t>APP-ROL-03</t>
  </si>
  <si>
    <t>Control and trace changes to authorizations</t>
  </si>
  <si>
    <t>Route all role/profile/authorization changes through a documented change and approval process, transported via standard change management (no direct production changes).</t>
  </si>
  <si>
    <t>Continuous / per change</t>
  </si>
  <si>
    <t>PFCG, transport management system (STMS), change tickets</t>
  </si>
  <si>
    <t>Unauthorized or untested authorization changes made in production</t>
  </si>
  <si>
    <t>Change ticket linked to transport request</t>
  </si>
  <si>
    <t>APP-ROL-04</t>
  </si>
  <si>
    <t>Restrict and monitor high-risk authorizations</t>
  </si>
  <si>
    <t>Identify, restrict, and continuously monitor assignment/use of critical authorizations (SAP_ALL, SAP_NEW, debug-and-change S_DEVELOP, direct table maintenance S_TABU_DIS/S_TABU_NAM).</t>
  </si>
  <si>
    <t>Monthly</t>
  </si>
  <si>
    <t>SUIM, GRC critical access reports</t>
  </si>
  <si>
    <t>Catastrophic impact from misuse of powerful authorizations</t>
  </si>
  <si>
    <t>Critical authorization assignment report</t>
  </si>
  <si>
    <t>APP-ROL-05</t>
  </si>
  <si>
    <t>Confirm role content remains accurate and necessary</t>
  </si>
  <si>
    <t>Periodically recertify role definitions and their assignment to positions/jobs, retiring or updating roles that no longer match business need.</t>
  </si>
  <si>
    <t>Role repository review, GRC Business Role Management</t>
  </si>
  <si>
    <t>Role definitions drifting from actual business need, accumulating risk</t>
  </si>
  <si>
    <t>Role recertification record</t>
  </si>
  <si>
    <t>APP-ROL-06</t>
  </si>
  <si>
    <t>Separate authorization administration from approval</t>
  </si>
  <si>
    <t>Segregate the technical role-build/PFCG administrator function from the business approval/assignment decision to prevent self-authorized access grants.</t>
  </si>
  <si>
    <t>Continuous (organizational control)</t>
  </si>
  <si>
    <t>Workflow approval, RACI matrix</t>
  </si>
  <si>
    <t>Self-granted or unchecked access changes made by administrators</t>
  </si>
  <si>
    <t>RACI documentation, workflow approval log</t>
  </si>
  <si>
    <t>APP-UIM-01</t>
  </si>
  <si>
    <t>User &amp; Identity Management</t>
  </si>
  <si>
    <t>Ensure timely, authorized user provisioning and deprovisioning</t>
  </si>
  <si>
    <t>Operate a formal joiner-mover-leaver process linking HR events to SAP user account creation, role change and deactivation, with documented approval.</t>
  </si>
  <si>
    <t>Event-driven; continuous process</t>
  </si>
  <si>
    <t>SAP IDM/IAG, SU01, HR trigger interface</t>
  </si>
  <si>
    <t>Orphaned or excessive access resulting from delayed deprovisioning</t>
  </si>
  <si>
    <t>Provisioning ticket, approval trail</t>
  </si>
  <si>
    <t>APP-UIM-02</t>
  </si>
  <si>
    <t>Confirm ongoing appropriateness of user access</t>
  </si>
  <si>
    <t>Perform periodic user access recertification where business owners attest that each user's access remains required and appropriate.</t>
  </si>
  <si>
    <t>GRC Access Control - Access Certification</t>
  </si>
  <si>
    <t>Accumulated unnecessary access ("privilege creep")</t>
  </si>
  <si>
    <t>Certification campaign results</t>
  </si>
  <si>
    <t>APP-UIM-03</t>
  </si>
  <si>
    <t>Control technical/service/communication users</t>
  </si>
  <si>
    <t>Maintain an inventory of technical and communication users with documented business purpose, restricted authorizations, and vaulted/rotated credentials.</t>
  </si>
  <si>
    <t>SU01 (system-type users), password vault</t>
  </si>
  <si>
    <t>Misuse of powerful, rarely-monitored technical accounts</t>
  </si>
  <si>
    <t>Technical user inventory, vault access log</t>
  </si>
  <si>
    <t>APP-UIM-04</t>
  </si>
  <si>
    <t>Control break-glass access to privileged functions</t>
  </si>
  <si>
    <t>Provide emergency/firefighter access through a controlled workflow requiring justification, time-boxing, and post-use logging/review rather than standing privileged roles.</t>
  </si>
  <si>
    <t>GRC Emergency Access Management</t>
  </si>
  <si>
    <t>Uncontrolled standing privileged access</t>
  </si>
  <si>
    <t>Firefighter request/approval record</t>
  </si>
  <si>
    <t>APP-UIM-05</t>
  </si>
  <si>
    <t>Remove risk from dormant accounts</t>
  </si>
  <si>
    <t>Identify and automatically lock or deactivate user IDs inactive beyond a defined threshold (e.g., 90 days).</t>
  </si>
  <si>
    <t>SU10, custom inactivity report</t>
  </si>
  <si>
    <t>Dormant accounts left as unattended attack surface</t>
  </si>
  <si>
    <t>Inactive user report, deactivation log</t>
  </si>
  <si>
    <t>APP-UIM-06</t>
  </si>
  <si>
    <t>Maintain a single authoritative source for identity data</t>
  </si>
  <si>
    <t>Integrate SAP user administration with the corporate Identity Provider/central IAM so identity attributes and lifecycle events are consistently sourced.</t>
  </si>
  <si>
    <t>Continuous (via integration)</t>
  </si>
  <si>
    <t>Corporate IAM, SAP Identity Authentication</t>
  </si>
  <si>
    <t>Inconsistent identity data leading to access errors</t>
  </si>
  <si>
    <t>Integration architecture document, reconciliation report</t>
  </si>
  <si>
    <t>SYS-COD-01</t>
  </si>
  <si>
    <t>Secure SAP Code</t>
  </si>
  <si>
    <t>Timely remediation of known SAP product vulnerabilities</t>
  </si>
  <si>
    <t>Operate a structured SAP Security Note management process aligned to SAP's monthly Patch Day, including triage, testing and deployment within defined SLAs.</t>
  </si>
  <si>
    <t>SAP Support Portal, RSECNOTE, Focused Run Patch Management</t>
  </si>
  <si>
    <t>Exploitation of publicly known, unpatched vulnerabilities</t>
  </si>
  <si>
    <t>Patch management log, SLA compliance report</t>
  </si>
  <si>
    <t>SYS-COD-02</t>
  </si>
  <si>
    <t>Prioritize the highest-risk vulnerabilities first</t>
  </si>
  <si>
    <t>Classify incoming SAP Security Notes by CVSS/HotNews priority and apply an expedited emergency patching procedure for critical/Hot News notes.</t>
  </si>
  <si>
    <t>Event-driven, within SLA</t>
  </si>
  <si>
    <t>SAP Security Notes feed, CVSS scoring</t>
  </si>
  <si>
    <t>Delayed remediation of critical or actively exploited vulnerabilities</t>
  </si>
  <si>
    <t>Hot News tracker, emergency change records</t>
  </si>
  <si>
    <t>SYS-COD-03</t>
  </si>
  <si>
    <t>Maintain supportability and security of the technology stack</t>
  </si>
  <si>
    <t>Track kernel patch level, support package stack (SPS) and OS/DB versions against SAP maintenance schedules; plan upgrades before end-of-maintenance.</t>
  </si>
  <si>
    <t>Maintenance Planner, SAP Product Availability Matrix</t>
  </si>
  <si>
    <t>Running unsupported components with no available security fixes</t>
  </si>
  <si>
    <t>Version/patch level inventory, upgrade roadmap</t>
  </si>
  <si>
    <t>SYS-COD-04</t>
  </si>
  <si>
    <t>Identify systems missing required security patches</t>
  </si>
  <si>
    <t>Perform automated vulnerability scanning of the SAP landscape to detect missing security notes/patches across all systems.</t>
  </si>
  <si>
    <t>Weekly/Monthly</t>
  </si>
  <si>
    <t>Vulnerability management tooling, System Recommendations</t>
  </si>
  <si>
    <t>Blind spots in patch coverage across large landscapes</t>
  </si>
  <si>
    <t>Vulnerability scan report</t>
  </si>
  <si>
    <t>SYS-COD-05</t>
  </si>
  <si>
    <t>Retire unsupported/deprecated components</t>
  </si>
  <si>
    <t>Identify and decommission or isolate deprecated add-ons, interfaces and components no longer receiving security maintenance.</t>
  </si>
  <si>
    <t>System landscape inventory</t>
  </si>
  <si>
    <t>Unsupported components acting as persistent attack surface</t>
  </si>
  <si>
    <t>Decommissioning record, inventory update</t>
  </si>
  <si>
    <t>SYS-COD-06</t>
  </si>
  <si>
    <t>Validate that patch deployment does not introduce regressions</t>
  </si>
  <si>
    <t>Test security patches in non-production environments and validate business process integrity before production deployment.</t>
  </si>
  <si>
    <t>Event-driven (per patch cycle)</t>
  </si>
  <si>
    <t>Test management tooling, transport system</t>
  </si>
  <si>
    <t>Patch-induced business disruption or incomplete deployment</t>
  </si>
  <si>
    <t>Test results, transport log</t>
  </si>
  <si>
    <t>SYS-HRD-01</t>
  </si>
  <si>
    <t>Security Hardening</t>
  </si>
  <si>
    <t>Enforce secure system-level configuration</t>
  </si>
  <si>
    <t>Set and periodically verify SAP profile parameters governing password policy, login attempts, session handling and gateway/message server security against SAP hardening guidelines.</t>
  </si>
  <si>
    <t>RZ10/RZ11, SAP Security Baseline, EarlyWatch Alert</t>
  </si>
  <si>
    <t>Weak configuration enabling brute force or session abuse</t>
  </si>
  <si>
    <t>Parameter report, baseline compliance check</t>
  </si>
  <si>
    <t>SYS-HRD-02</t>
  </si>
  <si>
    <t>Minimize exposed RFC function-module attack surface</t>
  </si>
  <si>
    <t>Activate Unified Connectivity (UCON) RFC communication assessment and enforce allow-listing of RFC function modules callable from external/less-trusted systems.</t>
  </si>
  <si>
    <t>UCON Cockpit, RFC logging</t>
  </si>
  <si>
    <t>Exploitation of unnecessarily exposed RFC-enabled function modules</t>
  </si>
  <si>
    <t>UCON scenario/whitelist export</t>
  </si>
  <si>
    <t>SYS-HRD-03</t>
  </si>
  <si>
    <t>Secure the SAP Gateway and Message Server</t>
  </si>
  <si>
    <t>Configure and maintain gateway (secinfo/reginfo) and message server ACLs to restrict which programs/hosts may register or communicate, per SAP security notes.</t>
  </si>
  <si>
    <t>secinfo/reginfo files, SMGW, SMMS</t>
  </si>
  <si>
    <t>Unauthorized RFC server registration enabling remote code execution</t>
  </si>
  <si>
    <t>secinfo/reginfo configuration export, SAP Note compliance check</t>
  </si>
  <si>
    <t>SYS-HRD-04</t>
  </si>
  <si>
    <t>Eliminate risk from standard/default users</t>
  </si>
  <si>
    <t>Secure or lock default users (SAP*, DDIC, SAPCPIC, EARLYWATCH, TMSADM) in all clients including client 000/066, with strong non-default passwords where accounts must remain active.</t>
  </si>
  <si>
    <t>Event-driven (post-build/refresh); quarterly verification</t>
  </si>
  <si>
    <t>SU01, RSUSR003</t>
  </si>
  <si>
    <t>Compromise via well-known default credentials</t>
  </si>
  <si>
    <t>RSUSR003 report</t>
  </si>
  <si>
    <t>SYS-HRD-05</t>
  </si>
  <si>
    <t>Reduce web service attack surface</t>
  </si>
  <si>
    <t>Deactivate unused/unnecessary ICF services in SICF and restrict access to remaining services via authorization checks.</t>
  </si>
  <si>
    <t>SICF</t>
  </si>
  <si>
    <t>Exploitation of unused or unpatched web services</t>
  </si>
  <si>
    <t>SICF service activation report</t>
  </si>
  <si>
    <t>SYS-HRD-06</t>
  </si>
  <si>
    <t>Continuously verify hardening status against SAP recommendations</t>
  </si>
  <si>
    <t>Run SAP System Recommendations / Security Optimization Service (SOS), or equivalent tooling, regularly and remediate identified configuration deviations.</t>
  </si>
  <si>
    <t>Solution Manager/Focused Run System Recommendations, SOS</t>
  </si>
  <si>
    <t>Configuration drift from the secure baseline going unnoticed</t>
  </si>
  <si>
    <t>SOS/System Recommendations report, remediation tracker</t>
  </si>
  <si>
    <t>SYS-MON-01</t>
  </si>
  <si>
    <t>Security Monitoring &amp; Forensics</t>
  </si>
  <si>
    <t>Capture security-relevant events across the landscape</t>
  </si>
  <si>
    <t>Enable the Security Audit Log on all productive systems with an appropriate filter set and centrally collect logs for retention and analysis.</t>
  </si>
  <si>
    <t>SM19/SM20, RSAU_CONFIG, log collector</t>
  </si>
  <si>
    <t>Inability to detect or investigate security incidents</t>
  </si>
  <si>
    <t>Security Audit Log configuration, sample extract</t>
  </si>
  <si>
    <t>SYS-MON-02</t>
  </si>
  <si>
    <t>Enable real-time detection of SAP-specific threats</t>
  </si>
  <si>
    <t>Integrate SAP logs (Security Audit Log, gateway, HTTP, database) with SIEM/SAP Enterprise Threat Detection using SAP-specific use cases and alerting thresholds.</t>
  </si>
  <si>
    <t>SAP Enterprise Threat Detection, SIEM</t>
  </si>
  <si>
    <t>Undetected active attack or insider threat</t>
  </si>
  <si>
    <t>SIEM use case catalog, alert history</t>
  </si>
  <si>
    <t>SYS-MON-03</t>
  </si>
  <si>
    <t>Oversee privileged/emergency access usage</t>
  </si>
  <si>
    <t>Monitor firefighter/emergency access sessions in real time, including logging of all actions performed and mandatory post-use review/approval.</t>
  </si>
  <si>
    <t>Event-driven (per session), reviewed within SLA</t>
  </si>
  <si>
    <t>GRC Access Control - Emergency Access Management</t>
  </si>
  <si>
    <t>Abuse of elevated emergency access going unnoticed</t>
  </si>
  <si>
    <t>Firefighter log report, reviewer sign-off</t>
  </si>
  <si>
    <t>SYS-MON-04</t>
  </si>
  <si>
    <t>Detect unauthorized access to sensitive data</t>
  </si>
  <si>
    <t>Configure Read Access Logging (RAL) for defined sensitive data fields and periodically review access patterns for anomalies.</t>
  </si>
  <si>
    <t>Undetected unauthorized viewing or exfiltration of sensitive data</t>
  </si>
  <si>
    <t>RAL configuration, review report</t>
  </si>
  <si>
    <t>SYS-MON-05</t>
  </si>
  <si>
    <t>Enable effective incident response for SAP-specific incidents</t>
  </si>
  <si>
    <t>Maintain an SAP-specific incident response runbook (containment, evidence preservation, forensic log extraction) integrated with the enterprise IR process.</t>
  </si>
  <si>
    <t>Annual test; event-driven</t>
  </si>
  <si>
    <t>IR runbook, forensic toolkits</t>
  </si>
  <si>
    <t>Delayed or ineffective response prolonging incident impact</t>
  </si>
  <si>
    <t>IR runbook, tabletop exercise record</t>
  </si>
  <si>
    <t>SYS-MON-06</t>
  </si>
  <si>
    <t>Keep detection capability current with the threat landscape</t>
  </si>
  <si>
    <t>Periodically review and tune monitoring rules, thresholds and use cases against new attack techniques and false-positive/negative rates.</t>
  </si>
  <si>
    <t>SIEM tuning process</t>
  </si>
  <si>
    <t>Detection capability decaying over time (alert fatigue or blind spots)</t>
  </si>
  <si>
    <t>Tuning review minutes, updated use case list</t>
  </si>
  <si>
    <t>ENV-CLI-01</t>
  </si>
  <si>
    <t>Client Security</t>
  </si>
  <si>
    <t>Harden SAP GUI / SAP Business Client configuration</t>
  </si>
  <si>
    <t>Enforce secure SAP GUI landscape configuration (SNC-only logon, digitally signed server list, ini-file restrictions) distributed centrally to prevent local tampering.</t>
  </si>
  <si>
    <t>SAP GUI Landscape Editor, SNC</t>
  </si>
  <si>
    <t>Client-side manipulation enabling credential theft or man-in-the-middle attacks</t>
  </si>
  <si>
    <t>GUI configuration package, signed landscape file</t>
  </si>
  <si>
    <t>ENV-CLI-02</t>
  </si>
  <si>
    <t>Control SAP GUI scripting to prevent data exfiltration/automation abuse</t>
  </si>
  <si>
    <t>Restrict SAP GUI scripting capability to authorized use cases via authorization object S_SCR and server/client-side scripting flags; log scripting activity.</t>
  </si>
  <si>
    <t>S_SCR authorization, profile parameters</t>
  </si>
  <si>
    <t>Automated mass data extraction or credential harvesting via scripting</t>
  </si>
  <si>
    <t>Scripting authorization report, activity log</t>
  </si>
  <si>
    <t>ENV-CLI-03</t>
  </si>
  <si>
    <t>Reduce endpoint attack surface for devices accessing SAP</t>
  </si>
  <si>
    <t>Apply a standard endpoint hardening baseline (patching, anti-malware, disk encryption, restricted local admin) to workstations used to access SAP systems.</t>
  </si>
  <si>
    <t>Manual / Automated</t>
  </si>
  <si>
    <t>Continuous (via endpoint management)</t>
  </si>
  <si>
    <t>Endpoint management/MDM, patch management</t>
  </si>
  <si>
    <t>Compromised endpoint used as a pivot into SAP</t>
  </si>
  <si>
    <t>Endpoint compliance report</t>
  </si>
  <si>
    <t>ENV-CLI-04</t>
  </si>
  <si>
    <t>Secure browser-based access to Fiori/Web UIs</t>
  </si>
  <si>
    <t>Configure secure browser policies (Content-Security-Policy headers, secure/HttpOnly cookies, disabling autofill of SAP credentials) for Fiori Launchpad and other web front-ends.</t>
  </si>
  <si>
    <t>ICM/Web Dispatcher headers, browser policy</t>
  </si>
  <si>
    <t>Session hijacking or credential capture via the browser (e.g., XSS)</t>
  </si>
  <si>
    <t>HTTP header scan, browser policy configuration</t>
  </si>
  <si>
    <t>ENV-CLI-05</t>
  </si>
  <si>
    <t>Prevent uncontrolled local data extraction</t>
  </si>
  <si>
    <t>Restrict/monitor download, print, copy-paste and clipboard operations from SAP GUI/Fiori to endpoints, particularly for sensitive data sets.</t>
  </si>
  <si>
    <t>DLP tooling, SAP GUI restriction settings</t>
  </si>
  <si>
    <t>Data leakage via local export</t>
  </si>
  <si>
    <t>DLP policy configuration, exception log</t>
  </si>
  <si>
    <t>ENV-CLI-06</t>
  </si>
  <si>
    <t>Maintain awareness of client-side architecture risk</t>
  </si>
  <si>
    <t>Periodically reassess client access architecture (VDI vs. local install, BYOD policy) against the current threat landscape and update controls accordingly.</t>
  </si>
  <si>
    <t>Client architecture review</t>
  </si>
  <si>
    <t>Outdated client security model no longer matching the risk profile</t>
  </si>
  <si>
    <t>Review report, updated client security standard</t>
  </si>
  <si>
    <t>ENV-NET-01</t>
  </si>
  <si>
    <t>Network Security</t>
  </si>
  <si>
    <t>Prevent unauthorized network access to the SAP landscape</t>
  </si>
  <si>
    <t>Segment the SAP landscape (Dev/QA/Prod, application/DB tiers) into distinct network zones separated by firewalls; restrict inter-zone traffic to required ports and protocols only.</t>
  </si>
  <si>
    <t>Annual; event-driven on landscape change</t>
  </si>
  <si>
    <t>Network firewalls, landscape/zoning diagrams</t>
  </si>
  <si>
    <t>Lateral movement or unauthorized network access into SAP tiers</t>
  </si>
  <si>
    <t>Network zoning diagram, firewall rule export, change approval</t>
  </si>
  <si>
    <t>ENV-NET-02</t>
  </si>
  <si>
    <t>Control external routing into SAP systems</t>
  </si>
  <si>
    <t>Configure the SAProuter route permission table (saprouttab) and SAP Cloud Connector access control lists to allow only explicitly approved source/destination/service combinations; deny-all by default.</t>
  </si>
  <si>
    <t>Quarterly review</t>
  </si>
  <si>
    <t>SAProuter, SAP Cloud Connector, saprouttab</t>
  </si>
  <si>
    <t>Unauthorized inbound/outbound routing enabling remote exploitation</t>
  </si>
  <si>
    <t>saprouttab export, Cloud Connector ACL configuration, review sign-off</t>
  </si>
  <si>
    <t>ENV-NET-03</t>
  </si>
  <si>
    <t>Protect data in transit between SAP components</t>
  </si>
  <si>
    <t>Enforce encrypted communication (TLS for HTTP(S)/Fiori, SNC for RFC/DIAG) for all connections crossing network zones or the internet; disable plaintext protocols.</t>
  </si>
  <si>
    <t>SNC, TLS/SSL configuration, STRUST, SM59</t>
  </si>
  <si>
    <t>Interception or tampering of credentials and business data in transit</t>
  </si>
  <si>
    <t>SNC/TLS configuration export, protocol scan results</t>
  </si>
  <si>
    <t>ENV-NET-04</t>
  </si>
  <si>
    <t>Detect malicious or anomalous network activity targeting SAP</t>
  </si>
  <si>
    <t>Deploy network-based IDS/IPS and traffic monitoring covering SAP-relevant ports and protocols, with alerting integrated into the SOC.</t>
  </si>
  <si>
    <t>IDS/IPS, network SIEM, interface traffic monitoring</t>
  </si>
  <si>
    <t>Undetected network-layer attack or reconnaissance</t>
  </si>
  <si>
    <t>IDS/IPS alert logs, SOC monitoring reports</t>
  </si>
  <si>
    <t>ENV-NET-05</t>
  </si>
  <si>
    <t>Prevent direct exposure of SAP database ports</t>
  </si>
  <si>
    <t>Restrict direct network access to database listener ports to application servers and authorized admin subnets only; block access from end-user and internet-facing networks.</t>
  </si>
  <si>
    <t>Firewall rules, DB listener configuration</t>
  </si>
  <si>
    <t>Direct database compromise bypassing application controls</t>
  </si>
  <si>
    <t>Firewall rule set, port scan results</t>
  </si>
  <si>
    <t>ENV-NET-06</t>
  </si>
  <si>
    <t>Maintain accuracy of network security controls over time</t>
  </si>
  <si>
    <t>Perform periodic review and recertification of firewall rules, zoning, and remote-access configurations for the SAP landscape, removing obsolete rules.</t>
  </si>
  <si>
    <t>Semi-Annual</t>
  </si>
  <si>
    <t>Firewall management console, CMDB</t>
  </si>
  <si>
    <t>Rule sprawl leading to unintended access paths</t>
  </si>
  <si>
    <t>Rule review record, remediation tickets</t>
  </si>
  <si>
    <t>ENV-OSD-01</t>
  </si>
  <si>
    <t>Operating System &amp; Database Security</t>
  </si>
  <si>
    <t>Secure OS-level accounts supporting SAP</t>
  </si>
  <si>
    <t>Restrict and monitor use of privileged OS accounts (&lt;sid&gt;adm, root/Administrator); remove or disable default and unused OS accounts; enforce individual accountability.</t>
  </si>
  <si>
    <t>OS user administration, sudo/UAC policy</t>
  </si>
  <si>
    <t>Uncontrolled OS-level access bypassing SAP application controls</t>
  </si>
  <si>
    <t>OS account listing, access review sign-off</t>
  </si>
  <si>
    <t>ENV-OSD-02</t>
  </si>
  <si>
    <t>Protect SAP file system objects</t>
  </si>
  <si>
    <t>Configure file system permissions on SAP directories (/usr/sap, /sapmnt, kernel/executables, transport directory) to restrict read/write/execute to authorized service accounts only.</t>
  </si>
  <si>
    <t>OS file permissions, hardening scripts</t>
  </si>
  <si>
    <t>Unauthorized modification of SAP binaries, configuration or transports</t>
  </si>
  <si>
    <t>File permission audit report</t>
  </si>
  <si>
    <t>ENV-OSD-03</t>
  </si>
  <si>
    <t>Secure SAP database accounts and default credentials</t>
  </si>
  <si>
    <t>Change/rotate default database user passwords (e.g., SAP&lt;SID&gt;, SAPHANADB, SYSTEM), lock or remove unused DB users, and enforce a database password policy.</t>
  </si>
  <si>
    <t>Event-driven (post-install); annual verification</t>
  </si>
  <si>
    <t>DB user management (HANA cockpit, DBACOCKPIT)</t>
  </si>
  <si>
    <t>Compromise via default or weak database credentials</t>
  </si>
  <si>
    <t>DB user listing, password policy configuration</t>
  </si>
  <si>
    <t>ENV-OSD-04</t>
  </si>
  <si>
    <t>Detect unauthorized privileged database activity</t>
  </si>
  <si>
    <t>Enable database-level audit logging for privileged actions (schema changes, direct data manipulation, administrator logon) and review logs regularly.</t>
  </si>
  <si>
    <t>Continuous; weekly review</t>
  </si>
  <si>
    <t>HANA Audit Log, native DB auditing</t>
  </si>
  <si>
    <t>Undetected direct database tampering bypassing the SAP application layer</t>
  </si>
  <si>
    <t>DB audit log extracts, review notes</t>
  </si>
  <si>
    <t>ENV-OSD-05</t>
  </si>
  <si>
    <t>Protect data confidentiality at rest</t>
  </si>
  <si>
    <t>Enable data-at-rest encryption (e.g., HANA data/log volume encryption, disk/TDE encryption) for SAP databases holding sensitive data.</t>
  </si>
  <si>
    <t>Event-driven; annual verification</t>
  </si>
  <si>
    <t>HANA Data Volume Encryption, storage-level encryption</t>
  </si>
  <si>
    <t>Data exposure from storage/media theft or improper disposal</t>
  </si>
  <si>
    <t>Encryption configuration export, key management policy</t>
  </si>
  <si>
    <t>ENV-OSD-06</t>
  </si>
  <si>
    <t>Enforce tenant/schema isolation in shared database environments</t>
  </si>
  <si>
    <t>Configure and verify tenant database or schema separation so that one application/customer cannot access another's data in multi-tenant or shared HANA landscapes.</t>
  </si>
  <si>
    <t>HANA Multitenant Database Containers (MDC), schema privileges</t>
  </si>
  <si>
    <t>Cross-tenant data leakage</t>
  </si>
  <si>
    <t>Tenant isolation test results, privilege review</t>
  </si>
  <si>
    <t>Control Count Summary</t>
  </si>
  <si>
    <t>Counts recalculate automatically from the Control Catalog tab.</t>
  </si>
  <si>
    <t>By Layer</t>
  </si>
  <si>
    <t># Controls</t>
  </si>
  <si>
    <t>Total</t>
  </si>
  <si>
    <t>By Building Block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</si>
</sst>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20"/>
      <color rgb="FF1F3864"/>
      <name val="Arial"/>
      <charset val="1"/>
    </font>
    <font>
      <i/>
      <sz val="12"/>
      <color rgb="FF595959"/>
      <name val="Arial"/>
      <charset val="1"/>
    </font>
    <font>
      <sz val="10.5"/>
      <name val="Arial"/>
      <charset val="1"/>
    </font>
    <font>
      <b/>
      <sz val="11"/>
      <color rgb="FFFFFFFF"/>
      <name val="Arial"/>
      <charset val="1"/>
    </font>
    <font>
      <b/>
      <sz val="13"/>
      <color rgb="FF1F3864"/>
      <name val="Arial"/>
      <charset val="1"/>
    </font>
    <font>
      <b/>
      <sz val="10.5"/>
      <name val="Arial"/>
      <charset val="1"/>
    </font>
    <font>
      <i/>
      <sz val="9"/>
      <color rgb="FF808080"/>
      <name val="Arial"/>
      <charset val="1"/>
    </font>
    <font>
      <b/>
      <sz val="10.5"/>
      <color rgb="FFFFFFFF"/>
      <name val="Arial"/>
      <charset val="1"/>
    </font>
    <font>
      <b/>
      <sz val="10"/>
      <name val="Arial"/>
      <charset val="1"/>
    </font>
    <font>
      <sz val="10"/>
      <name val="Arial"/>
      <charset val="1"/>
    </font>
    <font>
      <b/>
      <sz val="16"/>
      <color rgb="FF1F3864"/>
      <name val="Arial"/>
      <charset val="1"/>
    </font>
    <font>
      <i/>
      <sz val="10"/>
      <color rgb="FF808080"/>
      <name val="Arial"/>
      <charset val="1"/>
    </font>
    <font>
      <b/>
      <sz val="12"/>
      <name val="Arial"/>
      <charset val="1"/>
    </font>
  </fonts>
  <fills count="13">
    <fill>
      <patternFill patternType="none"/>
    </fill>
    <fill>
      <patternFill patternType="gray125"/>
    </fill>
    <fill>
      <patternFill patternType="solid">
        <fgColor rgb="FF1F3864"/>
        <bgColor rgb="FF2E4053"/>
      </patternFill>
    </fill>
    <fill>
      <patternFill patternType="solid">
        <fgColor rgb="FF2E4053"/>
        <bgColor rgb="FF1F3864"/>
      </patternFill>
    </fill>
    <fill>
      <patternFill patternType="solid">
        <fgColor rgb="FFD6DBDF"/>
        <bgColor rgb="FFD9D9D9"/>
      </patternFill>
    </fill>
    <fill>
      <patternFill patternType="solid">
        <fgColor rgb="FF6C3483"/>
        <bgColor rgb="FF993366"/>
      </patternFill>
    </fill>
    <fill>
      <patternFill patternType="solid">
        <fgColor rgb="FFE8DAEF"/>
        <bgColor rgb="FFD9D9D9"/>
      </patternFill>
    </fill>
    <fill>
      <patternFill patternType="solid">
        <fgColor rgb="FF1A5276"/>
        <bgColor rgb="FF1F3864"/>
      </patternFill>
    </fill>
    <fill>
      <patternFill patternType="solid">
        <fgColor rgb="FFD4E6F1"/>
        <bgColor rgb="FFD6DBDF"/>
      </patternFill>
    </fill>
    <fill>
      <patternFill patternType="solid">
        <fgColor rgb="FF935116"/>
        <bgColor rgb="FF993366"/>
      </patternFill>
    </fill>
    <fill>
      <patternFill patternType="solid">
        <fgColor rgb="FFFAE5D3"/>
        <bgColor rgb="FFE8DAEF"/>
      </patternFill>
    </fill>
    <fill>
      <patternFill patternType="solid">
        <fgColor rgb="FF145A32"/>
        <bgColor rgb="FF1A5276"/>
      </patternFill>
    </fill>
    <fill>
      <patternFill patternType="solid">
        <fgColor rgb="FFD5F5E3"/>
        <bgColor rgb="FFD4E6F1"/>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61">
    <xf numFmtId="0" fontId="0" fillId="0" borderId="0" xfId="0"/>
    <xf numFmtId="0" fontId="7" fillId="0" borderId="0" xfId="0" applyFont="1" applyAlignment="1">
      <alignment vertical="top" wrapText="1"/>
    </xf>
    <xf numFmtId="0" fontId="3" fillId="0" borderId="0" xfId="0" applyFont="1" applyAlignment="1">
      <alignment vertical="top" wrapText="1"/>
    </xf>
    <xf numFmtId="0" fontId="1" fillId="0" borderId="0" xfId="0" applyFont="1"/>
    <xf numFmtId="0" fontId="2" fillId="0" borderId="0" xfId="0" applyFont="1"/>
    <xf numFmtId="0" fontId="4" fillId="2" borderId="1" xfId="0" applyFont="1" applyFill="1" applyBorder="1" applyAlignment="1">
      <alignment vertical="center" wrapText="1"/>
    </xf>
    <xf numFmtId="0" fontId="4" fillId="3" borderId="1" xfId="0" applyFont="1" applyFill="1" applyBorder="1" applyAlignment="1">
      <alignment horizontal="left" vertical="center" indent="1"/>
    </xf>
    <xf numFmtId="0" fontId="3" fillId="4" borderId="1" xfId="0" applyFont="1" applyFill="1" applyBorder="1" applyAlignment="1">
      <alignment vertical="center" wrapText="1"/>
    </xf>
    <xf numFmtId="0" fontId="4" fillId="5" borderId="1" xfId="0" applyFont="1" applyFill="1" applyBorder="1" applyAlignment="1">
      <alignment horizontal="left" vertical="center" indent="1"/>
    </xf>
    <xf numFmtId="0" fontId="3" fillId="6" borderId="1" xfId="0" applyFont="1" applyFill="1" applyBorder="1" applyAlignment="1">
      <alignment vertical="center" wrapText="1"/>
    </xf>
    <xf numFmtId="0" fontId="4" fillId="7" borderId="1" xfId="0" applyFont="1" applyFill="1" applyBorder="1" applyAlignment="1">
      <alignment horizontal="left" vertical="center" indent="1"/>
    </xf>
    <xf numFmtId="0" fontId="3" fillId="8" borderId="1" xfId="0" applyFont="1" applyFill="1" applyBorder="1" applyAlignment="1">
      <alignment vertical="center" wrapText="1"/>
    </xf>
    <xf numFmtId="0" fontId="4" fillId="9" borderId="1" xfId="0" applyFont="1" applyFill="1" applyBorder="1" applyAlignment="1">
      <alignment horizontal="left" vertical="center" indent="1"/>
    </xf>
    <xf numFmtId="0" fontId="3" fillId="10" borderId="1" xfId="0" applyFont="1" applyFill="1" applyBorder="1" applyAlignment="1">
      <alignment vertical="center" wrapText="1"/>
    </xf>
    <xf numFmtId="0" fontId="4" fillId="11" borderId="1" xfId="0" applyFont="1" applyFill="1" applyBorder="1" applyAlignment="1">
      <alignment horizontal="left" vertical="center" indent="1"/>
    </xf>
    <xf numFmtId="0" fontId="3" fillId="12" borderId="1" xfId="0" applyFont="1" applyFill="1" applyBorder="1" applyAlignment="1">
      <alignment vertical="center" wrapText="1"/>
    </xf>
    <xf numFmtId="0" fontId="5" fillId="0" borderId="0" xfId="0" applyFont="1"/>
    <xf numFmtId="0" fontId="6" fillId="0" borderId="0" xfId="0" applyFont="1" applyAlignment="1">
      <alignment vertical="top"/>
    </xf>
    <xf numFmtId="0" fontId="8" fillId="2" borderId="1" xfId="0" applyFont="1" applyFill="1" applyBorder="1" applyAlignment="1">
      <alignment horizontal="center" vertical="center" wrapText="1"/>
    </xf>
    <xf numFmtId="0" fontId="9" fillId="4" borderId="1" xfId="0" applyFont="1" applyFill="1" applyBorder="1" applyAlignment="1">
      <alignment horizontal="center" vertical="top" wrapText="1"/>
    </xf>
    <xf numFmtId="0" fontId="10" fillId="4" borderId="1" xfId="0" applyFont="1" applyFill="1" applyBorder="1" applyAlignment="1">
      <alignment horizontal="center" vertical="top" wrapText="1"/>
    </xf>
    <xf numFmtId="0" fontId="10" fillId="4" borderId="1" xfId="0" applyFont="1" applyFill="1" applyBorder="1" applyAlignment="1">
      <alignment horizontal="left" vertical="top" wrapText="1"/>
    </xf>
    <xf numFmtId="0" fontId="9" fillId="6" borderId="1" xfId="0" applyFont="1" applyFill="1" applyBorder="1" applyAlignment="1">
      <alignment horizontal="center" vertical="top" wrapText="1"/>
    </xf>
    <xf numFmtId="0" fontId="10" fillId="6" borderId="1" xfId="0" applyFont="1" applyFill="1" applyBorder="1" applyAlignment="1">
      <alignment horizontal="center" vertical="top" wrapText="1"/>
    </xf>
    <xf numFmtId="0" fontId="10" fillId="6" borderId="1" xfId="0" applyFont="1" applyFill="1" applyBorder="1" applyAlignment="1">
      <alignment horizontal="left" vertical="top" wrapText="1"/>
    </xf>
    <xf numFmtId="0" fontId="9" fillId="8" borderId="1" xfId="0" applyFont="1" applyFill="1" applyBorder="1" applyAlignment="1">
      <alignment horizontal="center" vertical="top" wrapText="1"/>
    </xf>
    <xf numFmtId="0" fontId="10" fillId="8" borderId="1" xfId="0" applyFont="1" applyFill="1" applyBorder="1" applyAlignment="1">
      <alignment horizontal="center" vertical="top" wrapText="1"/>
    </xf>
    <xf numFmtId="0" fontId="10" fillId="8" borderId="1" xfId="0" applyFont="1" applyFill="1" applyBorder="1" applyAlignment="1">
      <alignment horizontal="left" vertical="top" wrapText="1"/>
    </xf>
    <xf numFmtId="0" fontId="9" fillId="10" borderId="1" xfId="0" applyFont="1" applyFill="1" applyBorder="1" applyAlignment="1">
      <alignment horizontal="center" vertical="top" wrapText="1"/>
    </xf>
    <xf numFmtId="0" fontId="10" fillId="10" borderId="1" xfId="0" applyFont="1" applyFill="1" applyBorder="1" applyAlignment="1">
      <alignment horizontal="center" vertical="top" wrapText="1"/>
    </xf>
    <xf numFmtId="0" fontId="10" fillId="10" borderId="1" xfId="0" applyFont="1" applyFill="1" applyBorder="1" applyAlignment="1">
      <alignment horizontal="left" vertical="top" wrapText="1"/>
    </xf>
    <xf numFmtId="0" fontId="9" fillId="12" borderId="1" xfId="0" applyFont="1" applyFill="1" applyBorder="1" applyAlignment="1">
      <alignment horizontal="center" vertical="top" wrapText="1"/>
    </xf>
    <xf numFmtId="0" fontId="10" fillId="12" borderId="1" xfId="0" applyFont="1" applyFill="1" applyBorder="1" applyAlignment="1">
      <alignment horizontal="center" vertical="top" wrapText="1"/>
    </xf>
    <xf numFmtId="0" fontId="10" fillId="12" borderId="1" xfId="0" applyFont="1" applyFill="1" applyBorder="1" applyAlignment="1">
      <alignment horizontal="left" vertical="top" wrapText="1"/>
    </xf>
    <xf numFmtId="0" fontId="11" fillId="0" borderId="0" xfId="0" applyFont="1"/>
    <xf numFmtId="0" fontId="12" fillId="0" borderId="0" xfId="0" applyFont="1"/>
    <xf numFmtId="0" fontId="13" fillId="0" borderId="0" xfId="0" applyFont="1"/>
    <xf numFmtId="0" fontId="8" fillId="2" borderId="1" xfId="0" applyFont="1" applyFill="1" applyBorder="1" applyAlignment="1">
      <alignment horizontal="center"/>
    </xf>
    <xf numFmtId="0" fontId="6" fillId="4" borderId="1" xfId="0" applyFont="1" applyFill="1" applyBorder="1"/>
    <xf numFmtId="0" fontId="3" fillId="4" borderId="1" xfId="0" applyFont="1" applyFill="1" applyBorder="1" applyAlignment="1">
      <alignment horizontal="center"/>
    </xf>
    <xf numFmtId="0" fontId="6" fillId="4" borderId="1" xfId="0" applyFont="1" applyFill="1" applyBorder="1" applyAlignment="1">
      <alignment horizontal="center"/>
    </xf>
    <xf numFmtId="0" fontId="6" fillId="6" borderId="1" xfId="0" applyFont="1" applyFill="1" applyBorder="1"/>
    <xf numFmtId="0" fontId="3" fillId="6" borderId="1" xfId="0" applyFont="1" applyFill="1" applyBorder="1" applyAlignment="1">
      <alignment horizontal="center"/>
    </xf>
    <xf numFmtId="0" fontId="6" fillId="6" borderId="1" xfId="0" applyFont="1" applyFill="1" applyBorder="1" applyAlignment="1">
      <alignment horizontal="center"/>
    </xf>
    <xf numFmtId="0" fontId="6" fillId="8" borderId="1" xfId="0" applyFont="1" applyFill="1" applyBorder="1"/>
    <xf numFmtId="0" fontId="3" fillId="8" borderId="1" xfId="0" applyFont="1" applyFill="1" applyBorder="1" applyAlignment="1">
      <alignment horizontal="center"/>
    </xf>
    <xf numFmtId="0" fontId="6" fillId="8" borderId="1" xfId="0" applyFont="1" applyFill="1" applyBorder="1" applyAlignment="1">
      <alignment horizontal="center"/>
    </xf>
    <xf numFmtId="0" fontId="6" fillId="10" borderId="1" xfId="0" applyFont="1" applyFill="1" applyBorder="1"/>
    <xf numFmtId="0" fontId="3" fillId="10" borderId="1" xfId="0" applyFont="1" applyFill="1" applyBorder="1" applyAlignment="1">
      <alignment horizontal="center"/>
    </xf>
    <xf numFmtId="0" fontId="6" fillId="10" borderId="1" xfId="0" applyFont="1" applyFill="1" applyBorder="1" applyAlignment="1">
      <alignment horizontal="center"/>
    </xf>
    <xf numFmtId="0" fontId="6" fillId="12" borderId="1" xfId="0" applyFont="1" applyFill="1" applyBorder="1"/>
    <xf numFmtId="0" fontId="3" fillId="12" borderId="1" xfId="0" applyFont="1" applyFill="1" applyBorder="1" applyAlignment="1">
      <alignment horizontal="center"/>
    </xf>
    <xf numFmtId="0" fontId="6" fillId="12" borderId="1" xfId="0" applyFont="1" applyFill="1" applyBorder="1" applyAlignment="1">
      <alignment horizontal="center"/>
    </xf>
    <xf numFmtId="0" fontId="6" fillId="0" borderId="1" xfId="0" applyFont="1" applyBorder="1"/>
    <xf numFmtId="0" fontId="0" fillId="0" borderId="1" xfId="0" applyBorder="1"/>
    <xf numFmtId="0" fontId="6" fillId="0" borderId="1" xfId="0" applyFont="1" applyBorder="1" applyAlignment="1">
      <alignment horizontal="center"/>
    </xf>
    <xf numFmtId="0" fontId="10" fillId="4" borderId="1" xfId="0" applyFont="1" applyFill="1" applyBorder="1"/>
    <xf numFmtId="0" fontId="10" fillId="6" borderId="1" xfId="0" applyFont="1" applyFill="1" applyBorder="1"/>
    <xf numFmtId="0" fontId="10" fillId="8" borderId="1" xfId="0" applyFont="1" applyFill="1" applyBorder="1"/>
    <xf numFmtId="0" fontId="10" fillId="10" borderId="1" xfId="0" applyFont="1" applyFill="1" applyBorder="1"/>
    <xf numFmtId="0" fontId="10" fillId="12" borderId="1"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45A32"/>
      <rgbColor rgb="FF000080"/>
      <rgbColor rgb="FF808000"/>
      <rgbColor rgb="FF800080"/>
      <rgbColor rgb="FF008080"/>
      <rgbColor rgb="FFB7B7B7"/>
      <rgbColor rgb="FF808080"/>
      <rgbColor rgb="FF9999FF"/>
      <rgbColor rgb="FF6C3483"/>
      <rgbColor rgb="FFF9F9F9"/>
      <rgbColor rgb="FFD4E6F1"/>
      <rgbColor rgb="FF660066"/>
      <rgbColor rgb="FFFF8080"/>
      <rgbColor rgb="FF0066CC"/>
      <rgbColor rgb="FFD6DBDF"/>
      <rgbColor rgb="FF000080"/>
      <rgbColor rgb="FFFF00FF"/>
      <rgbColor rgb="FFFFFF00"/>
      <rgbColor rgb="FF00FFFF"/>
      <rgbColor rgb="FF800080"/>
      <rgbColor rgb="FF800000"/>
      <rgbColor rgb="FF008080"/>
      <rgbColor rgb="FF0000FF"/>
      <rgbColor rgb="FF00CCFF"/>
      <rgbColor rgb="FFD9D9D9"/>
      <rgbColor rgb="FFD5F5E3"/>
      <rgbColor rgb="FFE8DAEF"/>
      <rgbColor rgb="FF99CCFF"/>
      <rgbColor rgb="FFFF99CC"/>
      <rgbColor rgb="FFCC99FF"/>
      <rgbColor rgb="FFFAE5D3"/>
      <rgbColor rgb="FF4F81BD"/>
      <rgbColor rgb="FF33CCCC"/>
      <rgbColor rgb="FF99CC00"/>
      <rgbColor rgb="FFFFCC00"/>
      <rgbColor rgb="FFFF9900"/>
      <rgbColor rgb="FFFF6600"/>
      <rgbColor rgb="FF595959"/>
      <rgbColor rgb="FF878787"/>
      <rgbColor rgb="FF1F3864"/>
      <rgbColor rgb="FF339966"/>
      <rgbColor rgb="FF003300"/>
      <rgbColor rgb="FF333300"/>
      <rgbColor rgb="FF935116"/>
      <rgbColor rgb="FF993366"/>
      <rgbColor rgb="FF1A5276"/>
      <rgbColor rgb="FF2E405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Controls by Secure Operations Map Layer</a:t>
            </a:r>
          </a:p>
        </c:rich>
      </c:tx>
      <c:overlay val="0"/>
      <c:spPr>
        <a:noFill/>
        <a:ln w="0">
          <a:noFill/>
        </a:ln>
      </c:spPr>
    </c:title>
    <c:autoTitleDeleted val="0"/>
    <c:plotArea>
      <c:layout/>
      <c:barChart>
        <c:barDir val="col"/>
        <c:grouping val="clustered"/>
        <c:varyColors val="0"/>
        <c:ser>
          <c:idx val="0"/>
          <c:order val="0"/>
          <c:tx>
            <c:strRef>
              <c:f>Summary!$D$6</c:f>
              <c:strCache>
                <c:ptCount val="1"/>
                <c:pt idx="0">
                  <c:v># Controls</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da-DK"/>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Summary!$B$7:$B$11</c:f>
              <c:strCache>
                <c:ptCount val="5"/>
                <c:pt idx="0">
                  <c:v>Organization</c:v>
                </c:pt>
                <c:pt idx="1">
                  <c:v>Process</c:v>
                </c:pt>
                <c:pt idx="2">
                  <c:v>Application</c:v>
                </c:pt>
                <c:pt idx="3">
                  <c:v>System</c:v>
                </c:pt>
                <c:pt idx="4">
                  <c:v>Environment</c:v>
                </c:pt>
              </c:strCache>
            </c:strRef>
          </c:cat>
          <c:val>
            <c:numRef>
              <c:f>Summary!$D$7:$D$11</c:f>
              <c:numCache>
                <c:formatCode>General</c:formatCode>
                <c:ptCount val="5"/>
                <c:pt idx="0">
                  <c:v>18</c:v>
                </c:pt>
                <c:pt idx="1">
                  <c:v>18</c:v>
                </c:pt>
                <c:pt idx="2">
                  <c:v>24</c:v>
                </c:pt>
                <c:pt idx="3">
                  <c:v>18</c:v>
                </c:pt>
                <c:pt idx="4">
                  <c:v>18</c:v>
                </c:pt>
              </c:numCache>
            </c:numRef>
          </c:val>
          <c:extLst>
            <c:ext xmlns:c16="http://schemas.microsoft.com/office/drawing/2014/chart" uri="{C3380CC4-5D6E-409C-BE32-E72D297353CC}">
              <c16:uniqueId val="{00000000-3B67-4808-BF8C-62F67D109073}"/>
            </c:ext>
          </c:extLst>
        </c:ser>
        <c:dLbls>
          <c:showLegendKey val="0"/>
          <c:showVal val="0"/>
          <c:showCatName val="0"/>
          <c:showSerName val="0"/>
          <c:showPercent val="0"/>
          <c:showBubbleSize val="0"/>
        </c:dLbls>
        <c:gapWidth val="150"/>
        <c:axId val="92810041"/>
        <c:axId val="58947472"/>
      </c:barChart>
      <c:catAx>
        <c:axId val="92810041"/>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Layer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da-DK"/>
          </a:p>
        </c:txPr>
        <c:crossAx val="58947472"/>
        <c:crosses val="autoZero"/>
        <c:auto val="1"/>
        <c:lblAlgn val="ctr"/>
        <c:lblOffset val="100"/>
        <c:noMultiLvlLbl val="0"/>
      </c:catAx>
      <c:valAx>
        <c:axId val="5894747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 Controls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da-DK"/>
          </a:p>
        </c:txPr>
        <c:crossAx val="9281004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3</xdr:row>
      <xdr:rowOff>131040</xdr:rowOff>
    </xdr:from>
    <xdr:to>
      <xdr:col>13</xdr:col>
      <xdr:colOff>507600</xdr:colOff>
      <xdr:row>18</xdr:row>
      <xdr:rowOff>153000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rolCatalog" displayName="ControlCatalog" ref="A1:K97" totalsRowShown="0">
  <autoFilter ref="A1:K97" xr:uid="{00000000-0009-0000-0100-000001000000}"/>
  <tableColumns count="11">
    <tableColumn id="1" xr3:uid="{00000000-0010-0000-0000-000001000000}" name="Control ID"/>
    <tableColumn id="2" xr3:uid="{00000000-0010-0000-0000-000002000000}" name="Layer"/>
    <tableColumn id="3" xr3:uid="{00000000-0010-0000-0000-000003000000}" name="Building Block"/>
    <tableColumn id="4" xr3:uid="{00000000-0010-0000-0000-000004000000}" name="Control Objective"/>
    <tableColumn id="5" xr3:uid="{00000000-0010-0000-0000-000005000000}" name="Control Description"/>
    <tableColumn id="6" xr3:uid="{00000000-0010-0000-0000-000006000000}" name="Control Type"/>
    <tableColumn id="7" xr3:uid="{00000000-0010-0000-0000-000007000000}" name="Control Nature"/>
    <tableColumn id="8" xr3:uid="{00000000-0010-0000-0000-000008000000}" name="Frequency"/>
    <tableColumn id="9" xr3:uid="{00000000-0010-0000-0000-000009000000}" name="Relevant SAP Tools / T-Codes"/>
    <tableColumn id="10" xr3:uid="{00000000-0010-0000-0000-00000A000000}" name="Risk Addressed"/>
    <tableColumn id="11" xr3:uid="{00000000-0010-0000-0000-00000B000000}" name="Evidence / Audit Artifac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23"/>
  <sheetViews>
    <sheetView showGridLines="0" tabSelected="1" zoomScaleNormal="100" workbookViewId="0">
      <selection activeCell="B5" sqref="B5:D5"/>
    </sheetView>
  </sheetViews>
  <sheetFormatPr defaultColWidth="8.7109375" defaultRowHeight="15" x14ac:dyDescent="0.25"/>
  <cols>
    <col min="1" max="1" width="3" customWidth="1"/>
    <col min="2" max="2" width="22" customWidth="1"/>
    <col min="3" max="3" width="46" customWidth="1"/>
    <col min="4" max="4" width="70" customWidth="1"/>
  </cols>
  <sheetData>
    <row r="2" spans="2:4" ht="26.25" x14ac:dyDescent="0.4">
      <c r="B2" s="3" t="s">
        <v>0</v>
      </c>
    </row>
    <row r="3" spans="2:4" ht="15.75" x14ac:dyDescent="0.25">
      <c r="B3" s="4" t="s">
        <v>1</v>
      </c>
    </row>
    <row r="5" spans="2:4" ht="61.5" customHeight="1" x14ac:dyDescent="0.25">
      <c r="B5" s="2" t="s">
        <v>2</v>
      </c>
      <c r="C5" s="2"/>
      <c r="D5" s="2"/>
    </row>
    <row r="7" spans="2:4" ht="19.5" customHeight="1" x14ac:dyDescent="0.25">
      <c r="B7" s="5" t="s">
        <v>3</v>
      </c>
      <c r="C7" s="5" t="s">
        <v>4</v>
      </c>
      <c r="D7" s="5" t="s">
        <v>5</v>
      </c>
    </row>
    <row r="8" spans="2:4" ht="60" customHeight="1" x14ac:dyDescent="0.25">
      <c r="B8" s="6" t="s">
        <v>6</v>
      </c>
      <c r="C8" s="7" t="s">
        <v>7</v>
      </c>
      <c r="D8" s="7" t="s">
        <v>8</v>
      </c>
    </row>
    <row r="9" spans="2:4" ht="60" customHeight="1" x14ac:dyDescent="0.25">
      <c r="B9" s="8" t="s">
        <v>9</v>
      </c>
      <c r="C9" s="9" t="s">
        <v>10</v>
      </c>
      <c r="D9" s="9" t="s">
        <v>11</v>
      </c>
    </row>
    <row r="10" spans="2:4" ht="72" customHeight="1" x14ac:dyDescent="0.25">
      <c r="B10" s="10" t="s">
        <v>12</v>
      </c>
      <c r="C10" s="11" t="s">
        <v>13</v>
      </c>
      <c r="D10" s="11" t="s">
        <v>14</v>
      </c>
    </row>
    <row r="11" spans="2:4" ht="60" customHeight="1" x14ac:dyDescent="0.25">
      <c r="B11" s="12" t="s">
        <v>15</v>
      </c>
      <c r="C11" s="13" t="s">
        <v>16</v>
      </c>
      <c r="D11" s="13" t="s">
        <v>17</v>
      </c>
    </row>
    <row r="12" spans="2:4" ht="60" customHeight="1" x14ac:dyDescent="0.25">
      <c r="B12" s="14" t="s">
        <v>18</v>
      </c>
      <c r="C12" s="15" t="s">
        <v>19</v>
      </c>
      <c r="D12" s="15" t="s">
        <v>20</v>
      </c>
    </row>
    <row r="14" spans="2:4" ht="16.5" x14ac:dyDescent="0.25">
      <c r="B14" s="16" t="s">
        <v>21</v>
      </c>
    </row>
    <row r="15" spans="2:4" ht="30" customHeight="1" x14ac:dyDescent="0.25">
      <c r="B15" s="17" t="s">
        <v>22</v>
      </c>
      <c r="C15" s="2" t="s">
        <v>23</v>
      </c>
      <c r="D15" s="2"/>
    </row>
    <row r="16" spans="2:4" ht="30" customHeight="1" x14ac:dyDescent="0.25">
      <c r="B16" s="17" t="s">
        <v>24</v>
      </c>
      <c r="C16" s="2" t="s">
        <v>25</v>
      </c>
      <c r="D16" s="2"/>
    </row>
    <row r="17" spans="2:4" ht="30" customHeight="1" x14ac:dyDescent="0.25">
      <c r="B17" s="17" t="s">
        <v>26</v>
      </c>
      <c r="C17" s="2" t="s">
        <v>27</v>
      </c>
      <c r="D17" s="2"/>
    </row>
    <row r="18" spans="2:4" ht="30" customHeight="1" x14ac:dyDescent="0.25">
      <c r="B18" s="17" t="s">
        <v>28</v>
      </c>
      <c r="C18" s="2" t="s">
        <v>29</v>
      </c>
      <c r="D18" s="2"/>
    </row>
    <row r="19" spans="2:4" ht="30" customHeight="1" x14ac:dyDescent="0.25">
      <c r="B19" s="17" t="s">
        <v>30</v>
      </c>
      <c r="C19" s="2" t="s">
        <v>31</v>
      </c>
      <c r="D19" s="2"/>
    </row>
    <row r="20" spans="2:4" ht="30" customHeight="1" x14ac:dyDescent="0.25">
      <c r="B20" s="17" t="s">
        <v>32</v>
      </c>
      <c r="C20" s="2" t="s">
        <v>33</v>
      </c>
      <c r="D20" s="2"/>
    </row>
    <row r="21" spans="2:4" ht="30" customHeight="1" x14ac:dyDescent="0.25">
      <c r="B21" s="17" t="s">
        <v>34</v>
      </c>
      <c r="C21" s="2" t="s">
        <v>35</v>
      </c>
      <c r="D21" s="2"/>
    </row>
    <row r="23" spans="2:4" ht="48" customHeight="1" x14ac:dyDescent="0.25">
      <c r="B23" s="1" t="s">
        <v>36</v>
      </c>
      <c r="C23" s="1"/>
      <c r="D23" s="1"/>
    </row>
  </sheetData>
  <mergeCells count="9">
    <mergeCell ref="C19:D19"/>
    <mergeCell ref="C20:D20"/>
    <mergeCell ref="C21:D21"/>
    <mergeCell ref="B23:D23"/>
    <mergeCell ref="B5:D5"/>
    <mergeCell ref="C15:D15"/>
    <mergeCell ref="C16:D16"/>
    <mergeCell ref="C17:D17"/>
    <mergeCell ref="C18:D18"/>
  </mergeCells>
  <pageMargins left="0.75" right="0.75" top="1" bottom="1" header="0.511811023622047" footer="0.511811023622047"/>
  <pageSetup paperSize="9" orientation="portrait" horizontalDpi="300" verticalDpi="300"/>
  <headerFooter>
    <oddFooter xml:space="preserve">&amp;C_x000D_&amp;1#&amp;"Arial"&amp;8&amp;K37424a Classification: Public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7"/>
  <sheetViews>
    <sheetView showGridLines="0" zoomScaleNormal="100" workbookViewId="0">
      <pane ySplit="1" topLeftCell="A2" activePane="bottomLeft" state="frozen"/>
      <selection pane="bottomLeft"/>
    </sheetView>
  </sheetViews>
  <sheetFormatPr defaultColWidth="8.7109375" defaultRowHeight="15" x14ac:dyDescent="0.25"/>
  <cols>
    <col min="1" max="2" width="13" customWidth="1"/>
    <col min="3" max="3" width="26" customWidth="1"/>
    <col min="4" max="4" width="30" customWidth="1"/>
    <col min="5" max="5" width="46" customWidth="1"/>
    <col min="6" max="7" width="16" customWidth="1"/>
    <col min="8" max="8" width="24" customWidth="1"/>
    <col min="9" max="9" width="30" customWidth="1"/>
    <col min="10" max="10" width="34" customWidth="1"/>
    <col min="11" max="11" width="30" customWidth="1"/>
  </cols>
  <sheetData>
    <row r="1" spans="1:11" ht="31.5" customHeight="1" x14ac:dyDescent="0.25">
      <c r="A1" s="18" t="s">
        <v>22</v>
      </c>
      <c r="B1" s="18" t="s">
        <v>37</v>
      </c>
      <c r="C1" s="18" t="s">
        <v>38</v>
      </c>
      <c r="D1" s="18" t="s">
        <v>39</v>
      </c>
      <c r="E1" s="18" t="s">
        <v>40</v>
      </c>
      <c r="F1" s="18" t="s">
        <v>24</v>
      </c>
      <c r="G1" s="18" t="s">
        <v>26</v>
      </c>
      <c r="H1" s="18" t="s">
        <v>28</v>
      </c>
      <c r="I1" s="18" t="s">
        <v>30</v>
      </c>
      <c r="J1" s="18" t="s">
        <v>32</v>
      </c>
      <c r="K1" s="18" t="s">
        <v>34</v>
      </c>
    </row>
    <row r="2" spans="1:11" ht="57.75" customHeight="1" x14ac:dyDescent="0.25">
      <c r="A2" s="19" t="s">
        <v>41</v>
      </c>
      <c r="B2" s="20" t="s">
        <v>6</v>
      </c>
      <c r="C2" s="21" t="s">
        <v>42</v>
      </c>
      <c r="D2" s="21" t="s">
        <v>43</v>
      </c>
      <c r="E2" s="21" t="s">
        <v>44</v>
      </c>
      <c r="F2" s="20" t="s">
        <v>45</v>
      </c>
      <c r="G2" s="20" t="s">
        <v>46</v>
      </c>
      <c r="H2" s="20" t="s">
        <v>47</v>
      </c>
      <c r="I2" s="21" t="s">
        <v>48</v>
      </c>
      <c r="J2" s="21" t="s">
        <v>49</v>
      </c>
      <c r="K2" s="21" t="s">
        <v>50</v>
      </c>
    </row>
    <row r="3" spans="1:11" ht="57.75" customHeight="1" x14ac:dyDescent="0.25">
      <c r="A3" s="19" t="s">
        <v>51</v>
      </c>
      <c r="B3" s="20" t="s">
        <v>6</v>
      </c>
      <c r="C3" s="21" t="s">
        <v>42</v>
      </c>
      <c r="D3" s="21" t="s">
        <v>52</v>
      </c>
      <c r="E3" s="21" t="s">
        <v>53</v>
      </c>
      <c r="F3" s="20" t="s">
        <v>54</v>
      </c>
      <c r="G3" s="20" t="s">
        <v>55</v>
      </c>
      <c r="H3" s="20" t="s">
        <v>56</v>
      </c>
      <c r="I3" s="21" t="s">
        <v>57</v>
      </c>
      <c r="J3" s="21" t="s">
        <v>58</v>
      </c>
      <c r="K3" s="21" t="s">
        <v>59</v>
      </c>
    </row>
    <row r="4" spans="1:11" ht="57.75" customHeight="1" x14ac:dyDescent="0.25">
      <c r="A4" s="19" t="s">
        <v>60</v>
      </c>
      <c r="B4" s="20" t="s">
        <v>6</v>
      </c>
      <c r="C4" s="21" t="s">
        <v>42</v>
      </c>
      <c r="D4" s="21" t="s">
        <v>61</v>
      </c>
      <c r="E4" s="21" t="s">
        <v>62</v>
      </c>
      <c r="F4" s="20" t="s">
        <v>45</v>
      </c>
      <c r="G4" s="20" t="s">
        <v>63</v>
      </c>
      <c r="H4" s="20" t="s">
        <v>64</v>
      </c>
      <c r="I4" s="21" t="s">
        <v>65</v>
      </c>
      <c r="J4" s="21" t="s">
        <v>66</v>
      </c>
      <c r="K4" s="21" t="s">
        <v>67</v>
      </c>
    </row>
    <row r="5" spans="1:11" ht="57.75" customHeight="1" x14ac:dyDescent="0.25">
      <c r="A5" s="19" t="s">
        <v>68</v>
      </c>
      <c r="B5" s="20" t="s">
        <v>6</v>
      </c>
      <c r="C5" s="21" t="s">
        <v>42</v>
      </c>
      <c r="D5" s="21" t="s">
        <v>69</v>
      </c>
      <c r="E5" s="21" t="s">
        <v>70</v>
      </c>
      <c r="F5" s="20" t="s">
        <v>45</v>
      </c>
      <c r="G5" s="20" t="s">
        <v>63</v>
      </c>
      <c r="H5" s="20" t="s">
        <v>71</v>
      </c>
      <c r="I5" s="21" t="s">
        <v>72</v>
      </c>
      <c r="J5" s="21" t="s">
        <v>73</v>
      </c>
      <c r="K5" s="21" t="s">
        <v>74</v>
      </c>
    </row>
    <row r="6" spans="1:11" ht="57.75" customHeight="1" x14ac:dyDescent="0.25">
      <c r="A6" s="19" t="s">
        <v>75</v>
      </c>
      <c r="B6" s="20" t="s">
        <v>6</v>
      </c>
      <c r="C6" s="21" t="s">
        <v>42</v>
      </c>
      <c r="D6" s="21" t="s">
        <v>76</v>
      </c>
      <c r="E6" s="21" t="s">
        <v>77</v>
      </c>
      <c r="F6" s="20" t="s">
        <v>54</v>
      </c>
      <c r="G6" s="20" t="s">
        <v>55</v>
      </c>
      <c r="H6" s="20" t="s">
        <v>78</v>
      </c>
      <c r="I6" s="21" t="s">
        <v>79</v>
      </c>
      <c r="J6" s="21" t="s">
        <v>80</v>
      </c>
      <c r="K6" s="21" t="s">
        <v>81</v>
      </c>
    </row>
    <row r="7" spans="1:11" ht="57.75" customHeight="1" x14ac:dyDescent="0.25">
      <c r="A7" s="19" t="s">
        <v>82</v>
      </c>
      <c r="B7" s="20" t="s">
        <v>6</v>
      </c>
      <c r="C7" s="21" t="s">
        <v>42</v>
      </c>
      <c r="D7" s="21" t="s">
        <v>83</v>
      </c>
      <c r="E7" s="21" t="s">
        <v>84</v>
      </c>
      <c r="F7" s="20" t="s">
        <v>45</v>
      </c>
      <c r="G7" s="20" t="s">
        <v>63</v>
      </c>
      <c r="H7" s="20" t="s">
        <v>85</v>
      </c>
      <c r="I7" s="21" t="s">
        <v>86</v>
      </c>
      <c r="J7" s="21" t="s">
        <v>87</v>
      </c>
      <c r="K7" s="21" t="s">
        <v>88</v>
      </c>
    </row>
    <row r="8" spans="1:11" ht="57.75" customHeight="1" x14ac:dyDescent="0.25">
      <c r="A8" s="19" t="s">
        <v>89</v>
      </c>
      <c r="B8" s="20" t="s">
        <v>6</v>
      </c>
      <c r="C8" s="21" t="s">
        <v>90</v>
      </c>
      <c r="D8" s="21" t="s">
        <v>91</v>
      </c>
      <c r="E8" s="21" t="s">
        <v>92</v>
      </c>
      <c r="F8" s="20" t="s">
        <v>93</v>
      </c>
      <c r="G8" s="20" t="s">
        <v>63</v>
      </c>
      <c r="H8" s="20" t="s">
        <v>78</v>
      </c>
      <c r="I8" s="21" t="s">
        <v>94</v>
      </c>
      <c r="J8" s="21" t="s">
        <v>95</v>
      </c>
      <c r="K8" s="21" t="s">
        <v>96</v>
      </c>
    </row>
    <row r="9" spans="1:11" ht="57.75" customHeight="1" x14ac:dyDescent="0.25">
      <c r="A9" s="19" t="s">
        <v>97</v>
      </c>
      <c r="B9" s="20" t="s">
        <v>6</v>
      </c>
      <c r="C9" s="21" t="s">
        <v>90</v>
      </c>
      <c r="D9" s="21" t="s">
        <v>98</v>
      </c>
      <c r="E9" s="21" t="s">
        <v>99</v>
      </c>
      <c r="F9" s="20" t="s">
        <v>54</v>
      </c>
      <c r="G9" s="20" t="s">
        <v>46</v>
      </c>
      <c r="H9" s="20" t="s">
        <v>100</v>
      </c>
      <c r="I9" s="21" t="s">
        <v>101</v>
      </c>
      <c r="J9" s="21" t="s">
        <v>102</v>
      </c>
      <c r="K9" s="21" t="s">
        <v>103</v>
      </c>
    </row>
    <row r="10" spans="1:11" ht="57.75" customHeight="1" x14ac:dyDescent="0.25">
      <c r="A10" s="19" t="s">
        <v>104</v>
      </c>
      <c r="B10" s="20" t="s">
        <v>6</v>
      </c>
      <c r="C10" s="21" t="s">
        <v>90</v>
      </c>
      <c r="D10" s="21" t="s">
        <v>105</v>
      </c>
      <c r="E10" s="21" t="s">
        <v>106</v>
      </c>
      <c r="F10" s="20" t="s">
        <v>93</v>
      </c>
      <c r="G10" s="20" t="s">
        <v>63</v>
      </c>
      <c r="H10" s="20" t="s">
        <v>107</v>
      </c>
      <c r="I10" s="21" t="s">
        <v>108</v>
      </c>
      <c r="J10" s="21" t="s">
        <v>109</v>
      </c>
      <c r="K10" s="21" t="s">
        <v>110</v>
      </c>
    </row>
    <row r="11" spans="1:11" ht="57.75" customHeight="1" x14ac:dyDescent="0.25">
      <c r="A11" s="19" t="s">
        <v>111</v>
      </c>
      <c r="B11" s="20" t="s">
        <v>6</v>
      </c>
      <c r="C11" s="21" t="s">
        <v>90</v>
      </c>
      <c r="D11" s="21" t="s">
        <v>112</v>
      </c>
      <c r="E11" s="21" t="s">
        <v>113</v>
      </c>
      <c r="F11" s="20" t="s">
        <v>93</v>
      </c>
      <c r="G11" s="20" t="s">
        <v>63</v>
      </c>
      <c r="H11" s="20" t="s">
        <v>85</v>
      </c>
      <c r="I11" s="21" t="s">
        <v>114</v>
      </c>
      <c r="J11" s="21" t="s">
        <v>115</v>
      </c>
      <c r="K11" s="21" t="s">
        <v>116</v>
      </c>
    </row>
    <row r="12" spans="1:11" ht="57.75" customHeight="1" x14ac:dyDescent="0.25">
      <c r="A12" s="19" t="s">
        <v>117</v>
      </c>
      <c r="B12" s="20" t="s">
        <v>6</v>
      </c>
      <c r="C12" s="21" t="s">
        <v>90</v>
      </c>
      <c r="D12" s="21" t="s">
        <v>118</v>
      </c>
      <c r="E12" s="21" t="s">
        <v>119</v>
      </c>
      <c r="F12" s="20" t="s">
        <v>45</v>
      </c>
      <c r="G12" s="20" t="s">
        <v>63</v>
      </c>
      <c r="H12" s="20" t="s">
        <v>120</v>
      </c>
      <c r="I12" s="21" t="s">
        <v>121</v>
      </c>
      <c r="J12" s="21" t="s">
        <v>122</v>
      </c>
      <c r="K12" s="21" t="s">
        <v>123</v>
      </c>
    </row>
    <row r="13" spans="1:11" ht="57.75" customHeight="1" x14ac:dyDescent="0.25">
      <c r="A13" s="19" t="s">
        <v>124</v>
      </c>
      <c r="B13" s="20" t="s">
        <v>6</v>
      </c>
      <c r="C13" s="21" t="s">
        <v>90</v>
      </c>
      <c r="D13" s="21" t="s">
        <v>125</v>
      </c>
      <c r="E13" s="21" t="s">
        <v>126</v>
      </c>
      <c r="F13" s="20" t="s">
        <v>127</v>
      </c>
      <c r="G13" s="20" t="s">
        <v>46</v>
      </c>
      <c r="H13" s="20" t="s">
        <v>128</v>
      </c>
      <c r="I13" s="21" t="s">
        <v>129</v>
      </c>
      <c r="J13" s="21" t="s">
        <v>130</v>
      </c>
      <c r="K13" s="21" t="s">
        <v>131</v>
      </c>
    </row>
    <row r="14" spans="1:11" ht="57.75" customHeight="1" x14ac:dyDescent="0.25">
      <c r="A14" s="19" t="s">
        <v>132</v>
      </c>
      <c r="B14" s="20" t="s">
        <v>6</v>
      </c>
      <c r="C14" s="21" t="s">
        <v>133</v>
      </c>
      <c r="D14" s="21" t="s">
        <v>134</v>
      </c>
      <c r="E14" s="21" t="s">
        <v>135</v>
      </c>
      <c r="F14" s="20" t="s">
        <v>93</v>
      </c>
      <c r="G14" s="20" t="s">
        <v>63</v>
      </c>
      <c r="H14" s="20" t="s">
        <v>136</v>
      </c>
      <c r="I14" s="21" t="s">
        <v>137</v>
      </c>
      <c r="J14" s="21" t="s">
        <v>138</v>
      </c>
      <c r="K14" s="21" t="s">
        <v>139</v>
      </c>
    </row>
    <row r="15" spans="1:11" ht="57.75" customHeight="1" x14ac:dyDescent="0.25">
      <c r="A15" s="19" t="s">
        <v>140</v>
      </c>
      <c r="B15" s="20" t="s">
        <v>6</v>
      </c>
      <c r="C15" s="21" t="s">
        <v>133</v>
      </c>
      <c r="D15" s="21" t="s">
        <v>141</v>
      </c>
      <c r="E15" s="21" t="s">
        <v>142</v>
      </c>
      <c r="F15" s="20" t="s">
        <v>93</v>
      </c>
      <c r="G15" s="20" t="s">
        <v>63</v>
      </c>
      <c r="H15" s="20" t="s">
        <v>136</v>
      </c>
      <c r="I15" s="21" t="s">
        <v>143</v>
      </c>
      <c r="J15" s="21" t="s">
        <v>144</v>
      </c>
      <c r="K15" s="21" t="s">
        <v>145</v>
      </c>
    </row>
    <row r="16" spans="1:11" ht="57.75" customHeight="1" x14ac:dyDescent="0.25">
      <c r="A16" s="19" t="s">
        <v>146</v>
      </c>
      <c r="B16" s="20" t="s">
        <v>6</v>
      </c>
      <c r="C16" s="21" t="s">
        <v>133</v>
      </c>
      <c r="D16" s="21" t="s">
        <v>147</v>
      </c>
      <c r="E16" s="21" t="s">
        <v>148</v>
      </c>
      <c r="F16" s="20" t="s">
        <v>93</v>
      </c>
      <c r="G16" s="20" t="s">
        <v>63</v>
      </c>
      <c r="H16" s="20" t="s">
        <v>100</v>
      </c>
      <c r="I16" s="21" t="s">
        <v>149</v>
      </c>
      <c r="J16" s="21" t="s">
        <v>150</v>
      </c>
      <c r="K16" s="21" t="s">
        <v>151</v>
      </c>
    </row>
    <row r="17" spans="1:11" ht="57.75" customHeight="1" x14ac:dyDescent="0.25">
      <c r="A17" s="19" t="s">
        <v>152</v>
      </c>
      <c r="B17" s="20" t="s">
        <v>6</v>
      </c>
      <c r="C17" s="21" t="s">
        <v>133</v>
      </c>
      <c r="D17" s="21" t="s">
        <v>153</v>
      </c>
      <c r="E17" s="21" t="s">
        <v>154</v>
      </c>
      <c r="F17" s="20" t="s">
        <v>93</v>
      </c>
      <c r="G17" s="20" t="s">
        <v>63</v>
      </c>
      <c r="H17" s="20" t="s">
        <v>78</v>
      </c>
      <c r="I17" s="21" t="s">
        <v>155</v>
      </c>
      <c r="J17" s="21" t="s">
        <v>156</v>
      </c>
      <c r="K17" s="21" t="s">
        <v>157</v>
      </c>
    </row>
    <row r="18" spans="1:11" ht="57.75" customHeight="1" x14ac:dyDescent="0.25">
      <c r="A18" s="19" t="s">
        <v>158</v>
      </c>
      <c r="B18" s="20" t="s">
        <v>6</v>
      </c>
      <c r="C18" s="21" t="s">
        <v>133</v>
      </c>
      <c r="D18" s="21" t="s">
        <v>159</v>
      </c>
      <c r="E18" s="21" t="s">
        <v>160</v>
      </c>
      <c r="F18" s="20" t="s">
        <v>54</v>
      </c>
      <c r="G18" s="20" t="s">
        <v>55</v>
      </c>
      <c r="H18" s="20" t="s">
        <v>161</v>
      </c>
      <c r="I18" s="21" t="s">
        <v>162</v>
      </c>
      <c r="J18" s="21" t="s">
        <v>163</v>
      </c>
      <c r="K18" s="21" t="s">
        <v>164</v>
      </c>
    </row>
    <row r="19" spans="1:11" ht="57.75" customHeight="1" x14ac:dyDescent="0.25">
      <c r="A19" s="19" t="s">
        <v>165</v>
      </c>
      <c r="B19" s="20" t="s">
        <v>6</v>
      </c>
      <c r="C19" s="21" t="s">
        <v>133</v>
      </c>
      <c r="D19" s="21" t="s">
        <v>166</v>
      </c>
      <c r="E19" s="21" t="s">
        <v>167</v>
      </c>
      <c r="F19" s="20" t="s">
        <v>93</v>
      </c>
      <c r="G19" s="20" t="s">
        <v>63</v>
      </c>
      <c r="H19" s="20" t="s">
        <v>168</v>
      </c>
      <c r="I19" s="21" t="s">
        <v>169</v>
      </c>
      <c r="J19" s="21" t="s">
        <v>170</v>
      </c>
      <c r="K19" s="21" t="s">
        <v>171</v>
      </c>
    </row>
    <row r="20" spans="1:11" ht="57.75" customHeight="1" x14ac:dyDescent="0.25">
      <c r="A20" s="22" t="s">
        <v>172</v>
      </c>
      <c r="B20" s="23" t="s">
        <v>9</v>
      </c>
      <c r="C20" s="24" t="s">
        <v>173</v>
      </c>
      <c r="D20" s="24" t="s">
        <v>174</v>
      </c>
      <c r="E20" s="24" t="s">
        <v>175</v>
      </c>
      <c r="F20" s="23" t="s">
        <v>54</v>
      </c>
      <c r="G20" s="23" t="s">
        <v>176</v>
      </c>
      <c r="H20" s="23" t="s">
        <v>177</v>
      </c>
      <c r="I20" s="24" t="s">
        <v>178</v>
      </c>
      <c r="J20" s="24" t="s">
        <v>179</v>
      </c>
      <c r="K20" s="24" t="s">
        <v>180</v>
      </c>
    </row>
    <row r="21" spans="1:11" ht="57.75" customHeight="1" x14ac:dyDescent="0.25">
      <c r="A21" s="22" t="s">
        <v>181</v>
      </c>
      <c r="B21" s="23" t="s">
        <v>9</v>
      </c>
      <c r="C21" s="24" t="s">
        <v>173</v>
      </c>
      <c r="D21" s="24" t="s">
        <v>182</v>
      </c>
      <c r="E21" s="24" t="s">
        <v>183</v>
      </c>
      <c r="F21" s="23" t="s">
        <v>54</v>
      </c>
      <c r="G21" s="23" t="s">
        <v>176</v>
      </c>
      <c r="H21" s="23" t="s">
        <v>177</v>
      </c>
      <c r="I21" s="24" t="s">
        <v>184</v>
      </c>
      <c r="J21" s="24" t="s">
        <v>185</v>
      </c>
      <c r="K21" s="24" t="s">
        <v>186</v>
      </c>
    </row>
    <row r="22" spans="1:11" ht="57.75" customHeight="1" x14ac:dyDescent="0.25">
      <c r="A22" s="22" t="s">
        <v>187</v>
      </c>
      <c r="B22" s="23" t="s">
        <v>9</v>
      </c>
      <c r="C22" s="24" t="s">
        <v>173</v>
      </c>
      <c r="D22" s="24" t="s">
        <v>188</v>
      </c>
      <c r="E22" s="24" t="s">
        <v>189</v>
      </c>
      <c r="F22" s="23" t="s">
        <v>93</v>
      </c>
      <c r="G22" s="23" t="s">
        <v>63</v>
      </c>
      <c r="H22" s="23" t="s">
        <v>85</v>
      </c>
      <c r="I22" s="24" t="s">
        <v>190</v>
      </c>
      <c r="J22" s="24" t="s">
        <v>191</v>
      </c>
      <c r="K22" s="24" t="s">
        <v>192</v>
      </c>
    </row>
    <row r="23" spans="1:11" ht="57.75" customHeight="1" x14ac:dyDescent="0.25">
      <c r="A23" s="22" t="s">
        <v>193</v>
      </c>
      <c r="B23" s="23" t="s">
        <v>9</v>
      </c>
      <c r="C23" s="24" t="s">
        <v>173</v>
      </c>
      <c r="D23" s="24" t="s">
        <v>194</v>
      </c>
      <c r="E23" s="24" t="s">
        <v>195</v>
      </c>
      <c r="F23" s="23" t="s">
        <v>127</v>
      </c>
      <c r="G23" s="23" t="s">
        <v>63</v>
      </c>
      <c r="H23" s="23" t="s">
        <v>64</v>
      </c>
      <c r="I23" s="24" t="s">
        <v>196</v>
      </c>
      <c r="J23" s="24" t="s">
        <v>197</v>
      </c>
      <c r="K23" s="24" t="s">
        <v>198</v>
      </c>
    </row>
    <row r="24" spans="1:11" ht="57.75" customHeight="1" x14ac:dyDescent="0.25">
      <c r="A24" s="22" t="s">
        <v>199</v>
      </c>
      <c r="B24" s="23" t="s">
        <v>9</v>
      </c>
      <c r="C24" s="24" t="s">
        <v>173</v>
      </c>
      <c r="D24" s="24" t="s">
        <v>200</v>
      </c>
      <c r="E24" s="24" t="s">
        <v>201</v>
      </c>
      <c r="F24" s="23" t="s">
        <v>54</v>
      </c>
      <c r="G24" s="23" t="s">
        <v>55</v>
      </c>
      <c r="H24" s="23" t="s">
        <v>202</v>
      </c>
      <c r="I24" s="24" t="s">
        <v>203</v>
      </c>
      <c r="J24" s="24" t="s">
        <v>204</v>
      </c>
      <c r="K24" s="24" t="s">
        <v>205</v>
      </c>
    </row>
    <row r="25" spans="1:11" ht="57.75" customHeight="1" x14ac:dyDescent="0.25">
      <c r="A25" s="22" t="s">
        <v>206</v>
      </c>
      <c r="B25" s="23" t="s">
        <v>9</v>
      </c>
      <c r="C25" s="24" t="s">
        <v>173</v>
      </c>
      <c r="D25" s="24" t="s">
        <v>207</v>
      </c>
      <c r="E25" s="24" t="s">
        <v>208</v>
      </c>
      <c r="F25" s="23" t="s">
        <v>54</v>
      </c>
      <c r="G25" s="23" t="s">
        <v>63</v>
      </c>
      <c r="H25" s="23" t="s">
        <v>78</v>
      </c>
      <c r="I25" s="24" t="s">
        <v>209</v>
      </c>
      <c r="J25" s="24" t="s">
        <v>210</v>
      </c>
      <c r="K25" s="24" t="s">
        <v>211</v>
      </c>
    </row>
    <row r="26" spans="1:11" ht="57.75" customHeight="1" x14ac:dyDescent="0.25">
      <c r="A26" s="22" t="s">
        <v>212</v>
      </c>
      <c r="B26" s="23" t="s">
        <v>9</v>
      </c>
      <c r="C26" s="24" t="s">
        <v>213</v>
      </c>
      <c r="D26" s="24" t="s">
        <v>214</v>
      </c>
      <c r="E26" s="24" t="s">
        <v>215</v>
      </c>
      <c r="F26" s="23" t="s">
        <v>93</v>
      </c>
      <c r="G26" s="23" t="s">
        <v>63</v>
      </c>
      <c r="H26" s="23" t="s">
        <v>100</v>
      </c>
      <c r="I26" s="24" t="s">
        <v>216</v>
      </c>
      <c r="J26" s="24" t="s">
        <v>217</v>
      </c>
      <c r="K26" s="24" t="s">
        <v>218</v>
      </c>
    </row>
    <row r="27" spans="1:11" ht="57.75" customHeight="1" x14ac:dyDescent="0.25">
      <c r="A27" s="22" t="s">
        <v>219</v>
      </c>
      <c r="B27" s="23" t="s">
        <v>9</v>
      </c>
      <c r="C27" s="24" t="s">
        <v>213</v>
      </c>
      <c r="D27" s="24" t="s">
        <v>220</v>
      </c>
      <c r="E27" s="24" t="s">
        <v>221</v>
      </c>
      <c r="F27" s="23" t="s">
        <v>45</v>
      </c>
      <c r="G27" s="23" t="s">
        <v>55</v>
      </c>
      <c r="H27" s="23" t="s">
        <v>222</v>
      </c>
      <c r="I27" s="24" t="s">
        <v>223</v>
      </c>
      <c r="J27" s="24" t="s">
        <v>224</v>
      </c>
      <c r="K27" s="24" t="s">
        <v>225</v>
      </c>
    </row>
    <row r="28" spans="1:11" ht="57.75" customHeight="1" x14ac:dyDescent="0.25">
      <c r="A28" s="22" t="s">
        <v>226</v>
      </c>
      <c r="B28" s="23" t="s">
        <v>9</v>
      </c>
      <c r="C28" s="24" t="s">
        <v>213</v>
      </c>
      <c r="D28" s="24" t="s">
        <v>227</v>
      </c>
      <c r="E28" s="24" t="s">
        <v>228</v>
      </c>
      <c r="F28" s="23" t="s">
        <v>45</v>
      </c>
      <c r="G28" s="23" t="s">
        <v>55</v>
      </c>
      <c r="H28" s="23" t="s">
        <v>229</v>
      </c>
      <c r="I28" s="24" t="s">
        <v>230</v>
      </c>
      <c r="J28" s="24" t="s">
        <v>231</v>
      </c>
      <c r="K28" s="24" t="s">
        <v>232</v>
      </c>
    </row>
    <row r="29" spans="1:11" ht="57.75" customHeight="1" x14ac:dyDescent="0.25">
      <c r="A29" s="22" t="s">
        <v>233</v>
      </c>
      <c r="B29" s="23" t="s">
        <v>9</v>
      </c>
      <c r="C29" s="24" t="s">
        <v>213</v>
      </c>
      <c r="D29" s="24" t="s">
        <v>234</v>
      </c>
      <c r="E29" s="24" t="s">
        <v>235</v>
      </c>
      <c r="F29" s="23" t="s">
        <v>54</v>
      </c>
      <c r="G29" s="23" t="s">
        <v>55</v>
      </c>
      <c r="H29" s="23" t="s">
        <v>236</v>
      </c>
      <c r="I29" s="24" t="s">
        <v>237</v>
      </c>
      <c r="J29" s="24" t="s">
        <v>238</v>
      </c>
      <c r="K29" s="24" t="s">
        <v>239</v>
      </c>
    </row>
    <row r="30" spans="1:11" ht="57.75" customHeight="1" x14ac:dyDescent="0.25">
      <c r="A30" s="22" t="s">
        <v>240</v>
      </c>
      <c r="B30" s="23" t="s">
        <v>9</v>
      </c>
      <c r="C30" s="24" t="s">
        <v>213</v>
      </c>
      <c r="D30" s="24" t="s">
        <v>241</v>
      </c>
      <c r="E30" s="24" t="s">
        <v>242</v>
      </c>
      <c r="F30" s="23" t="s">
        <v>127</v>
      </c>
      <c r="G30" s="23" t="s">
        <v>46</v>
      </c>
      <c r="H30" s="23" t="s">
        <v>64</v>
      </c>
      <c r="I30" s="24" t="s">
        <v>243</v>
      </c>
      <c r="J30" s="24" t="s">
        <v>244</v>
      </c>
      <c r="K30" s="24" t="s">
        <v>245</v>
      </c>
    </row>
    <row r="31" spans="1:11" ht="57.75" customHeight="1" x14ac:dyDescent="0.25">
      <c r="A31" s="22" t="s">
        <v>246</v>
      </c>
      <c r="B31" s="23" t="s">
        <v>9</v>
      </c>
      <c r="C31" s="24" t="s">
        <v>213</v>
      </c>
      <c r="D31" s="24" t="s">
        <v>247</v>
      </c>
      <c r="E31" s="24" t="s">
        <v>248</v>
      </c>
      <c r="F31" s="23" t="s">
        <v>45</v>
      </c>
      <c r="G31" s="23" t="s">
        <v>63</v>
      </c>
      <c r="H31" s="23" t="s">
        <v>249</v>
      </c>
      <c r="I31" s="24" t="s">
        <v>250</v>
      </c>
      <c r="J31" s="24" t="s">
        <v>251</v>
      </c>
      <c r="K31" s="24" t="s">
        <v>252</v>
      </c>
    </row>
    <row r="32" spans="1:11" ht="57.75" customHeight="1" x14ac:dyDescent="0.25">
      <c r="A32" s="22" t="s">
        <v>253</v>
      </c>
      <c r="B32" s="23" t="s">
        <v>9</v>
      </c>
      <c r="C32" s="24" t="s">
        <v>254</v>
      </c>
      <c r="D32" s="24" t="s">
        <v>255</v>
      </c>
      <c r="E32" s="24" t="s">
        <v>256</v>
      </c>
      <c r="F32" s="23" t="s">
        <v>93</v>
      </c>
      <c r="G32" s="23" t="s">
        <v>63</v>
      </c>
      <c r="H32" s="23" t="s">
        <v>257</v>
      </c>
      <c r="I32" s="24" t="s">
        <v>258</v>
      </c>
      <c r="J32" s="24" t="s">
        <v>259</v>
      </c>
      <c r="K32" s="24" t="s">
        <v>260</v>
      </c>
    </row>
    <row r="33" spans="1:11" ht="57.75" customHeight="1" x14ac:dyDescent="0.25">
      <c r="A33" s="22" t="s">
        <v>261</v>
      </c>
      <c r="B33" s="23" t="s">
        <v>9</v>
      </c>
      <c r="C33" s="24" t="s">
        <v>254</v>
      </c>
      <c r="D33" s="24" t="s">
        <v>262</v>
      </c>
      <c r="E33" s="24" t="s">
        <v>263</v>
      </c>
      <c r="F33" s="23" t="s">
        <v>45</v>
      </c>
      <c r="G33" s="23" t="s">
        <v>55</v>
      </c>
      <c r="H33" s="23" t="s">
        <v>264</v>
      </c>
      <c r="I33" s="24" t="s">
        <v>265</v>
      </c>
      <c r="J33" s="24" t="s">
        <v>266</v>
      </c>
      <c r="K33" s="24" t="s">
        <v>267</v>
      </c>
    </row>
    <row r="34" spans="1:11" ht="57.75" customHeight="1" x14ac:dyDescent="0.25">
      <c r="A34" s="22" t="s">
        <v>268</v>
      </c>
      <c r="B34" s="23" t="s">
        <v>9</v>
      </c>
      <c r="C34" s="24" t="s">
        <v>254</v>
      </c>
      <c r="D34" s="24" t="s">
        <v>269</v>
      </c>
      <c r="E34" s="24" t="s">
        <v>270</v>
      </c>
      <c r="F34" s="23" t="s">
        <v>54</v>
      </c>
      <c r="G34" s="23" t="s">
        <v>63</v>
      </c>
      <c r="H34" s="23" t="s">
        <v>271</v>
      </c>
      <c r="I34" s="24" t="s">
        <v>272</v>
      </c>
      <c r="J34" s="24" t="s">
        <v>273</v>
      </c>
      <c r="K34" s="24" t="s">
        <v>274</v>
      </c>
    </row>
    <row r="35" spans="1:11" ht="57.75" customHeight="1" x14ac:dyDescent="0.25">
      <c r="A35" s="22" t="s">
        <v>275</v>
      </c>
      <c r="B35" s="23" t="s">
        <v>9</v>
      </c>
      <c r="C35" s="24" t="s">
        <v>254</v>
      </c>
      <c r="D35" s="24" t="s">
        <v>276</v>
      </c>
      <c r="E35" s="24" t="s">
        <v>277</v>
      </c>
      <c r="F35" s="23" t="s">
        <v>278</v>
      </c>
      <c r="G35" s="23" t="s">
        <v>55</v>
      </c>
      <c r="H35" s="23" t="s">
        <v>279</v>
      </c>
      <c r="I35" s="24" t="s">
        <v>280</v>
      </c>
      <c r="J35" s="24" t="s">
        <v>281</v>
      </c>
      <c r="K35" s="24" t="s">
        <v>282</v>
      </c>
    </row>
    <row r="36" spans="1:11" ht="57.75" customHeight="1" x14ac:dyDescent="0.25">
      <c r="A36" s="22" t="s">
        <v>283</v>
      </c>
      <c r="B36" s="23" t="s">
        <v>9</v>
      </c>
      <c r="C36" s="24" t="s">
        <v>254</v>
      </c>
      <c r="D36" s="24" t="s">
        <v>284</v>
      </c>
      <c r="E36" s="24" t="s">
        <v>285</v>
      </c>
      <c r="F36" s="23" t="s">
        <v>54</v>
      </c>
      <c r="G36" s="23" t="s">
        <v>63</v>
      </c>
      <c r="H36" s="23" t="s">
        <v>85</v>
      </c>
      <c r="I36" s="24" t="s">
        <v>286</v>
      </c>
      <c r="J36" s="24" t="s">
        <v>287</v>
      </c>
      <c r="K36" s="24" t="s">
        <v>288</v>
      </c>
    </row>
    <row r="37" spans="1:11" ht="57.75" customHeight="1" x14ac:dyDescent="0.25">
      <c r="A37" s="22" t="s">
        <v>289</v>
      </c>
      <c r="B37" s="23" t="s">
        <v>9</v>
      </c>
      <c r="C37" s="24" t="s">
        <v>254</v>
      </c>
      <c r="D37" s="24" t="s">
        <v>290</v>
      </c>
      <c r="E37" s="24" t="s">
        <v>291</v>
      </c>
      <c r="F37" s="23" t="s">
        <v>93</v>
      </c>
      <c r="G37" s="23" t="s">
        <v>63</v>
      </c>
      <c r="H37" s="23" t="s">
        <v>100</v>
      </c>
      <c r="I37" s="24" t="s">
        <v>292</v>
      </c>
      <c r="J37" s="24" t="s">
        <v>293</v>
      </c>
      <c r="K37" s="24" t="s">
        <v>294</v>
      </c>
    </row>
    <row r="38" spans="1:11" ht="57.75" customHeight="1" x14ac:dyDescent="0.25">
      <c r="A38" s="25" t="s">
        <v>295</v>
      </c>
      <c r="B38" s="26" t="s">
        <v>12</v>
      </c>
      <c r="C38" s="27" t="s">
        <v>296</v>
      </c>
      <c r="D38" s="27" t="s">
        <v>297</v>
      </c>
      <c r="E38" s="27" t="s">
        <v>298</v>
      </c>
      <c r="F38" s="26" t="s">
        <v>45</v>
      </c>
      <c r="G38" s="26" t="s">
        <v>55</v>
      </c>
      <c r="H38" s="26" t="s">
        <v>136</v>
      </c>
      <c r="I38" s="27" t="s">
        <v>299</v>
      </c>
      <c r="J38" s="27" t="s">
        <v>300</v>
      </c>
      <c r="K38" s="27" t="s">
        <v>301</v>
      </c>
    </row>
    <row r="39" spans="1:11" ht="57.75" customHeight="1" x14ac:dyDescent="0.25">
      <c r="A39" s="25" t="s">
        <v>302</v>
      </c>
      <c r="B39" s="26" t="s">
        <v>12</v>
      </c>
      <c r="C39" s="27" t="s">
        <v>296</v>
      </c>
      <c r="D39" s="27" t="s">
        <v>303</v>
      </c>
      <c r="E39" s="27" t="s">
        <v>304</v>
      </c>
      <c r="F39" s="26" t="s">
        <v>45</v>
      </c>
      <c r="G39" s="26" t="s">
        <v>55</v>
      </c>
      <c r="H39" s="26" t="s">
        <v>305</v>
      </c>
      <c r="I39" s="27" t="s">
        <v>306</v>
      </c>
      <c r="J39" s="27" t="s">
        <v>307</v>
      </c>
      <c r="K39" s="27" t="s">
        <v>308</v>
      </c>
    </row>
    <row r="40" spans="1:11" ht="57.75" customHeight="1" x14ac:dyDescent="0.25">
      <c r="A40" s="25" t="s">
        <v>309</v>
      </c>
      <c r="B40" s="26" t="s">
        <v>12</v>
      </c>
      <c r="C40" s="27" t="s">
        <v>296</v>
      </c>
      <c r="D40" s="27" t="s">
        <v>310</v>
      </c>
      <c r="E40" s="27" t="s">
        <v>311</v>
      </c>
      <c r="F40" s="26" t="s">
        <v>45</v>
      </c>
      <c r="G40" s="26" t="s">
        <v>55</v>
      </c>
      <c r="H40" s="26" t="s">
        <v>312</v>
      </c>
      <c r="I40" s="27" t="s">
        <v>313</v>
      </c>
      <c r="J40" s="27" t="s">
        <v>314</v>
      </c>
      <c r="K40" s="27" t="s">
        <v>315</v>
      </c>
    </row>
    <row r="41" spans="1:11" ht="57.75" customHeight="1" x14ac:dyDescent="0.25">
      <c r="A41" s="25" t="s">
        <v>316</v>
      </c>
      <c r="B41" s="26" t="s">
        <v>12</v>
      </c>
      <c r="C41" s="27" t="s">
        <v>296</v>
      </c>
      <c r="D41" s="27" t="s">
        <v>317</v>
      </c>
      <c r="E41" s="27" t="s">
        <v>318</v>
      </c>
      <c r="F41" s="26" t="s">
        <v>45</v>
      </c>
      <c r="G41" s="26" t="s">
        <v>63</v>
      </c>
      <c r="H41" s="26" t="s">
        <v>136</v>
      </c>
      <c r="I41" s="27" t="s">
        <v>319</v>
      </c>
      <c r="J41" s="27" t="s">
        <v>320</v>
      </c>
      <c r="K41" s="27" t="s">
        <v>321</v>
      </c>
    </row>
    <row r="42" spans="1:11" ht="57.75" customHeight="1" x14ac:dyDescent="0.25">
      <c r="A42" s="25" t="s">
        <v>322</v>
      </c>
      <c r="B42" s="26" t="s">
        <v>12</v>
      </c>
      <c r="C42" s="27" t="s">
        <v>296</v>
      </c>
      <c r="D42" s="27" t="s">
        <v>323</v>
      </c>
      <c r="E42" s="27" t="s">
        <v>324</v>
      </c>
      <c r="F42" s="26" t="s">
        <v>45</v>
      </c>
      <c r="G42" s="26" t="s">
        <v>55</v>
      </c>
      <c r="H42" s="26" t="s">
        <v>136</v>
      </c>
      <c r="I42" s="27" t="s">
        <v>325</v>
      </c>
      <c r="J42" s="27" t="s">
        <v>326</v>
      </c>
      <c r="K42" s="27" t="s">
        <v>327</v>
      </c>
    </row>
    <row r="43" spans="1:11" ht="57.75" customHeight="1" x14ac:dyDescent="0.25">
      <c r="A43" s="25" t="s">
        <v>328</v>
      </c>
      <c r="B43" s="26" t="s">
        <v>12</v>
      </c>
      <c r="C43" s="27" t="s">
        <v>296</v>
      </c>
      <c r="D43" s="27" t="s">
        <v>329</v>
      </c>
      <c r="E43" s="27" t="s">
        <v>330</v>
      </c>
      <c r="F43" s="26" t="s">
        <v>54</v>
      </c>
      <c r="G43" s="26" t="s">
        <v>176</v>
      </c>
      <c r="H43" s="26" t="s">
        <v>177</v>
      </c>
      <c r="I43" s="27" t="s">
        <v>331</v>
      </c>
      <c r="J43" s="27" t="s">
        <v>332</v>
      </c>
      <c r="K43" s="27" t="s">
        <v>333</v>
      </c>
    </row>
    <row r="44" spans="1:11" ht="57.75" customHeight="1" x14ac:dyDescent="0.25">
      <c r="A44" s="25" t="s">
        <v>334</v>
      </c>
      <c r="B44" s="26" t="s">
        <v>12</v>
      </c>
      <c r="C44" s="27" t="s">
        <v>335</v>
      </c>
      <c r="D44" s="27" t="s">
        <v>336</v>
      </c>
      <c r="E44" s="27" t="s">
        <v>337</v>
      </c>
      <c r="F44" s="26" t="s">
        <v>45</v>
      </c>
      <c r="G44" s="26" t="s">
        <v>176</v>
      </c>
      <c r="H44" s="26" t="s">
        <v>338</v>
      </c>
      <c r="I44" s="27" t="s">
        <v>339</v>
      </c>
      <c r="J44" s="27" t="s">
        <v>340</v>
      </c>
      <c r="K44" s="27" t="s">
        <v>341</v>
      </c>
    </row>
    <row r="45" spans="1:11" ht="57.75" customHeight="1" x14ac:dyDescent="0.25">
      <c r="A45" s="25" t="s">
        <v>342</v>
      </c>
      <c r="B45" s="26" t="s">
        <v>12</v>
      </c>
      <c r="C45" s="27" t="s">
        <v>335</v>
      </c>
      <c r="D45" s="27" t="s">
        <v>343</v>
      </c>
      <c r="E45" s="27" t="s">
        <v>344</v>
      </c>
      <c r="F45" s="26" t="s">
        <v>45</v>
      </c>
      <c r="G45" s="26" t="s">
        <v>63</v>
      </c>
      <c r="H45" s="26" t="s">
        <v>345</v>
      </c>
      <c r="I45" s="27" t="s">
        <v>346</v>
      </c>
      <c r="J45" s="27" t="s">
        <v>347</v>
      </c>
      <c r="K45" s="27" t="s">
        <v>348</v>
      </c>
    </row>
    <row r="46" spans="1:11" ht="57.75" customHeight="1" x14ac:dyDescent="0.25">
      <c r="A46" s="25" t="s">
        <v>349</v>
      </c>
      <c r="B46" s="26" t="s">
        <v>12</v>
      </c>
      <c r="C46" s="27" t="s">
        <v>335</v>
      </c>
      <c r="D46" s="27" t="s">
        <v>350</v>
      </c>
      <c r="E46" s="27" t="s">
        <v>351</v>
      </c>
      <c r="F46" s="26" t="s">
        <v>45</v>
      </c>
      <c r="G46" s="26" t="s">
        <v>63</v>
      </c>
      <c r="H46" s="26" t="s">
        <v>352</v>
      </c>
      <c r="I46" s="27" t="s">
        <v>353</v>
      </c>
      <c r="J46" s="27" t="s">
        <v>354</v>
      </c>
      <c r="K46" s="27" t="s">
        <v>355</v>
      </c>
    </row>
    <row r="47" spans="1:11" ht="57.75" customHeight="1" x14ac:dyDescent="0.25">
      <c r="A47" s="25" t="s">
        <v>356</v>
      </c>
      <c r="B47" s="26" t="s">
        <v>12</v>
      </c>
      <c r="C47" s="27" t="s">
        <v>335</v>
      </c>
      <c r="D47" s="27" t="s">
        <v>357</v>
      </c>
      <c r="E47" s="27" t="s">
        <v>358</v>
      </c>
      <c r="F47" s="26" t="s">
        <v>45</v>
      </c>
      <c r="G47" s="26" t="s">
        <v>55</v>
      </c>
      <c r="H47" s="26" t="s">
        <v>177</v>
      </c>
      <c r="I47" s="27" t="s">
        <v>359</v>
      </c>
      <c r="J47" s="27" t="s">
        <v>360</v>
      </c>
      <c r="K47" s="27" t="s">
        <v>361</v>
      </c>
    </row>
    <row r="48" spans="1:11" ht="57.75" customHeight="1" x14ac:dyDescent="0.25">
      <c r="A48" s="25" t="s">
        <v>362</v>
      </c>
      <c r="B48" s="26" t="s">
        <v>12</v>
      </c>
      <c r="C48" s="27" t="s">
        <v>335</v>
      </c>
      <c r="D48" s="27" t="s">
        <v>363</v>
      </c>
      <c r="E48" s="27" t="s">
        <v>364</v>
      </c>
      <c r="F48" s="26" t="s">
        <v>54</v>
      </c>
      <c r="G48" s="26" t="s">
        <v>176</v>
      </c>
      <c r="H48" s="26" t="s">
        <v>271</v>
      </c>
      <c r="I48" s="27" t="s">
        <v>365</v>
      </c>
      <c r="J48" s="27" t="s">
        <v>366</v>
      </c>
      <c r="K48" s="27" t="s">
        <v>367</v>
      </c>
    </row>
    <row r="49" spans="1:11" ht="57.75" customHeight="1" x14ac:dyDescent="0.25">
      <c r="A49" s="25" t="s">
        <v>368</v>
      </c>
      <c r="B49" s="26" t="s">
        <v>12</v>
      </c>
      <c r="C49" s="27" t="s">
        <v>335</v>
      </c>
      <c r="D49" s="27" t="s">
        <v>369</v>
      </c>
      <c r="E49" s="27" t="s">
        <v>370</v>
      </c>
      <c r="F49" s="26" t="s">
        <v>278</v>
      </c>
      <c r="G49" s="26" t="s">
        <v>176</v>
      </c>
      <c r="H49" s="26" t="s">
        <v>371</v>
      </c>
      <c r="I49" s="27" t="s">
        <v>372</v>
      </c>
      <c r="J49" s="27" t="s">
        <v>373</v>
      </c>
      <c r="K49" s="27" t="s">
        <v>374</v>
      </c>
    </row>
    <row r="50" spans="1:11" ht="57.75" customHeight="1" x14ac:dyDescent="0.25">
      <c r="A50" s="25" t="s">
        <v>375</v>
      </c>
      <c r="B50" s="26" t="s">
        <v>12</v>
      </c>
      <c r="C50" s="27" t="s">
        <v>376</v>
      </c>
      <c r="D50" s="27" t="s">
        <v>377</v>
      </c>
      <c r="E50" s="27" t="s">
        <v>378</v>
      </c>
      <c r="F50" s="26" t="s">
        <v>45</v>
      </c>
      <c r="G50" s="26" t="s">
        <v>63</v>
      </c>
      <c r="H50" s="26" t="s">
        <v>379</v>
      </c>
      <c r="I50" s="27" t="s">
        <v>380</v>
      </c>
      <c r="J50" s="27" t="s">
        <v>381</v>
      </c>
      <c r="K50" s="27" t="s">
        <v>382</v>
      </c>
    </row>
    <row r="51" spans="1:11" ht="57.75" customHeight="1" x14ac:dyDescent="0.25">
      <c r="A51" s="25" t="s">
        <v>383</v>
      </c>
      <c r="B51" s="26" t="s">
        <v>12</v>
      </c>
      <c r="C51" s="27" t="s">
        <v>376</v>
      </c>
      <c r="D51" s="27" t="s">
        <v>384</v>
      </c>
      <c r="E51" s="27" t="s">
        <v>385</v>
      </c>
      <c r="F51" s="26" t="s">
        <v>386</v>
      </c>
      <c r="G51" s="26" t="s">
        <v>55</v>
      </c>
      <c r="H51" s="26" t="s">
        <v>78</v>
      </c>
      <c r="I51" s="27" t="s">
        <v>387</v>
      </c>
      <c r="J51" s="27" t="s">
        <v>388</v>
      </c>
      <c r="K51" s="27" t="s">
        <v>389</v>
      </c>
    </row>
    <row r="52" spans="1:11" ht="57.75" customHeight="1" x14ac:dyDescent="0.25">
      <c r="A52" s="25" t="s">
        <v>390</v>
      </c>
      <c r="B52" s="26" t="s">
        <v>12</v>
      </c>
      <c r="C52" s="27" t="s">
        <v>376</v>
      </c>
      <c r="D52" s="27" t="s">
        <v>391</v>
      </c>
      <c r="E52" s="27" t="s">
        <v>392</v>
      </c>
      <c r="F52" s="26" t="s">
        <v>45</v>
      </c>
      <c r="G52" s="26" t="s">
        <v>55</v>
      </c>
      <c r="H52" s="26" t="s">
        <v>393</v>
      </c>
      <c r="I52" s="27" t="s">
        <v>394</v>
      </c>
      <c r="J52" s="27" t="s">
        <v>395</v>
      </c>
      <c r="K52" s="27" t="s">
        <v>396</v>
      </c>
    </row>
    <row r="53" spans="1:11" ht="57.75" customHeight="1" x14ac:dyDescent="0.25">
      <c r="A53" s="25" t="s">
        <v>397</v>
      </c>
      <c r="B53" s="26" t="s">
        <v>12</v>
      </c>
      <c r="C53" s="27" t="s">
        <v>376</v>
      </c>
      <c r="D53" s="27" t="s">
        <v>398</v>
      </c>
      <c r="E53" s="27" t="s">
        <v>399</v>
      </c>
      <c r="F53" s="26" t="s">
        <v>278</v>
      </c>
      <c r="G53" s="26" t="s">
        <v>55</v>
      </c>
      <c r="H53" s="26" t="s">
        <v>400</v>
      </c>
      <c r="I53" s="27" t="s">
        <v>401</v>
      </c>
      <c r="J53" s="27" t="s">
        <v>402</v>
      </c>
      <c r="K53" s="27" t="s">
        <v>403</v>
      </c>
    </row>
    <row r="54" spans="1:11" ht="57.75" customHeight="1" x14ac:dyDescent="0.25">
      <c r="A54" s="25" t="s">
        <v>404</v>
      </c>
      <c r="B54" s="26" t="s">
        <v>12</v>
      </c>
      <c r="C54" s="27" t="s">
        <v>376</v>
      </c>
      <c r="D54" s="27" t="s">
        <v>405</v>
      </c>
      <c r="E54" s="27" t="s">
        <v>406</v>
      </c>
      <c r="F54" s="26" t="s">
        <v>54</v>
      </c>
      <c r="G54" s="26" t="s">
        <v>46</v>
      </c>
      <c r="H54" s="26" t="s">
        <v>85</v>
      </c>
      <c r="I54" s="27" t="s">
        <v>407</v>
      </c>
      <c r="J54" s="27" t="s">
        <v>408</v>
      </c>
      <c r="K54" s="27" t="s">
        <v>409</v>
      </c>
    </row>
    <row r="55" spans="1:11" ht="57.75" customHeight="1" x14ac:dyDescent="0.25">
      <c r="A55" s="25" t="s">
        <v>410</v>
      </c>
      <c r="B55" s="26" t="s">
        <v>12</v>
      </c>
      <c r="C55" s="27" t="s">
        <v>376</v>
      </c>
      <c r="D55" s="27" t="s">
        <v>411</v>
      </c>
      <c r="E55" s="27" t="s">
        <v>412</v>
      </c>
      <c r="F55" s="26" t="s">
        <v>45</v>
      </c>
      <c r="G55" s="26" t="s">
        <v>63</v>
      </c>
      <c r="H55" s="26" t="s">
        <v>413</v>
      </c>
      <c r="I55" s="27" t="s">
        <v>414</v>
      </c>
      <c r="J55" s="27" t="s">
        <v>415</v>
      </c>
      <c r="K55" s="27" t="s">
        <v>416</v>
      </c>
    </row>
    <row r="56" spans="1:11" ht="57.75" customHeight="1" x14ac:dyDescent="0.25">
      <c r="A56" s="25" t="s">
        <v>417</v>
      </c>
      <c r="B56" s="26" t="s">
        <v>12</v>
      </c>
      <c r="C56" s="27" t="s">
        <v>418</v>
      </c>
      <c r="D56" s="27" t="s">
        <v>419</v>
      </c>
      <c r="E56" s="27" t="s">
        <v>420</v>
      </c>
      <c r="F56" s="26" t="s">
        <v>45</v>
      </c>
      <c r="G56" s="26" t="s">
        <v>55</v>
      </c>
      <c r="H56" s="26" t="s">
        <v>421</v>
      </c>
      <c r="I56" s="27" t="s">
        <v>422</v>
      </c>
      <c r="J56" s="27" t="s">
        <v>423</v>
      </c>
      <c r="K56" s="27" t="s">
        <v>424</v>
      </c>
    </row>
    <row r="57" spans="1:11" ht="57.75" customHeight="1" x14ac:dyDescent="0.25">
      <c r="A57" s="25" t="s">
        <v>425</v>
      </c>
      <c r="B57" s="26" t="s">
        <v>12</v>
      </c>
      <c r="C57" s="27" t="s">
        <v>418</v>
      </c>
      <c r="D57" s="27" t="s">
        <v>426</v>
      </c>
      <c r="E57" s="27" t="s">
        <v>427</v>
      </c>
      <c r="F57" s="26" t="s">
        <v>54</v>
      </c>
      <c r="G57" s="26" t="s">
        <v>55</v>
      </c>
      <c r="H57" s="26" t="s">
        <v>56</v>
      </c>
      <c r="I57" s="27" t="s">
        <v>428</v>
      </c>
      <c r="J57" s="27" t="s">
        <v>429</v>
      </c>
      <c r="K57" s="27" t="s">
        <v>430</v>
      </c>
    </row>
    <row r="58" spans="1:11" ht="57.75" customHeight="1" x14ac:dyDescent="0.25">
      <c r="A58" s="25" t="s">
        <v>431</v>
      </c>
      <c r="B58" s="26" t="s">
        <v>12</v>
      </c>
      <c r="C58" s="27" t="s">
        <v>418</v>
      </c>
      <c r="D58" s="27" t="s">
        <v>432</v>
      </c>
      <c r="E58" s="27" t="s">
        <v>433</v>
      </c>
      <c r="F58" s="26" t="s">
        <v>45</v>
      </c>
      <c r="G58" s="26" t="s">
        <v>46</v>
      </c>
      <c r="H58" s="26" t="s">
        <v>136</v>
      </c>
      <c r="I58" s="27" t="s">
        <v>434</v>
      </c>
      <c r="J58" s="27" t="s">
        <v>435</v>
      </c>
      <c r="K58" s="27" t="s">
        <v>436</v>
      </c>
    </row>
    <row r="59" spans="1:11" ht="57.75" customHeight="1" x14ac:dyDescent="0.25">
      <c r="A59" s="25" t="s">
        <v>437</v>
      </c>
      <c r="B59" s="26" t="s">
        <v>12</v>
      </c>
      <c r="C59" s="27" t="s">
        <v>418</v>
      </c>
      <c r="D59" s="27" t="s">
        <v>438</v>
      </c>
      <c r="E59" s="27" t="s">
        <v>439</v>
      </c>
      <c r="F59" s="26" t="s">
        <v>45</v>
      </c>
      <c r="G59" s="26" t="s">
        <v>55</v>
      </c>
      <c r="H59" s="26" t="s">
        <v>64</v>
      </c>
      <c r="I59" s="27" t="s">
        <v>440</v>
      </c>
      <c r="J59" s="27" t="s">
        <v>441</v>
      </c>
      <c r="K59" s="27" t="s">
        <v>442</v>
      </c>
    </row>
    <row r="60" spans="1:11" ht="57.75" customHeight="1" x14ac:dyDescent="0.25">
      <c r="A60" s="25" t="s">
        <v>443</v>
      </c>
      <c r="B60" s="26" t="s">
        <v>12</v>
      </c>
      <c r="C60" s="27" t="s">
        <v>418</v>
      </c>
      <c r="D60" s="27" t="s">
        <v>444</v>
      </c>
      <c r="E60" s="27" t="s">
        <v>445</v>
      </c>
      <c r="F60" s="26" t="s">
        <v>386</v>
      </c>
      <c r="G60" s="26" t="s">
        <v>176</v>
      </c>
      <c r="H60" s="26" t="s">
        <v>400</v>
      </c>
      <c r="I60" s="27" t="s">
        <v>446</v>
      </c>
      <c r="J60" s="27" t="s">
        <v>447</v>
      </c>
      <c r="K60" s="27" t="s">
        <v>448</v>
      </c>
    </row>
    <row r="61" spans="1:11" ht="57.75" customHeight="1" x14ac:dyDescent="0.25">
      <c r="A61" s="25" t="s">
        <v>449</v>
      </c>
      <c r="B61" s="26" t="s">
        <v>12</v>
      </c>
      <c r="C61" s="27" t="s">
        <v>418</v>
      </c>
      <c r="D61" s="27" t="s">
        <v>450</v>
      </c>
      <c r="E61" s="27" t="s">
        <v>451</v>
      </c>
      <c r="F61" s="26" t="s">
        <v>45</v>
      </c>
      <c r="G61" s="26" t="s">
        <v>55</v>
      </c>
      <c r="H61" s="26" t="s">
        <v>452</v>
      </c>
      <c r="I61" s="27" t="s">
        <v>453</v>
      </c>
      <c r="J61" s="27" t="s">
        <v>454</v>
      </c>
      <c r="K61" s="27" t="s">
        <v>455</v>
      </c>
    </row>
    <row r="62" spans="1:11" ht="57.75" customHeight="1" x14ac:dyDescent="0.25">
      <c r="A62" s="28" t="s">
        <v>456</v>
      </c>
      <c r="B62" s="29" t="s">
        <v>15</v>
      </c>
      <c r="C62" s="30" t="s">
        <v>457</v>
      </c>
      <c r="D62" s="30" t="s">
        <v>458</v>
      </c>
      <c r="E62" s="30" t="s">
        <v>459</v>
      </c>
      <c r="F62" s="29" t="s">
        <v>127</v>
      </c>
      <c r="G62" s="29" t="s">
        <v>55</v>
      </c>
      <c r="H62" s="29" t="s">
        <v>400</v>
      </c>
      <c r="I62" s="30" t="s">
        <v>460</v>
      </c>
      <c r="J62" s="30" t="s">
        <v>461</v>
      </c>
      <c r="K62" s="30" t="s">
        <v>462</v>
      </c>
    </row>
    <row r="63" spans="1:11" ht="57.75" customHeight="1" x14ac:dyDescent="0.25">
      <c r="A63" s="28" t="s">
        <v>463</v>
      </c>
      <c r="B63" s="29" t="s">
        <v>15</v>
      </c>
      <c r="C63" s="30" t="s">
        <v>457</v>
      </c>
      <c r="D63" s="30" t="s">
        <v>464</v>
      </c>
      <c r="E63" s="30" t="s">
        <v>465</v>
      </c>
      <c r="F63" s="29" t="s">
        <v>127</v>
      </c>
      <c r="G63" s="29" t="s">
        <v>46</v>
      </c>
      <c r="H63" s="29" t="s">
        <v>466</v>
      </c>
      <c r="I63" s="30" t="s">
        <v>467</v>
      </c>
      <c r="J63" s="30" t="s">
        <v>468</v>
      </c>
      <c r="K63" s="30" t="s">
        <v>469</v>
      </c>
    </row>
    <row r="64" spans="1:11" ht="57.75" customHeight="1" x14ac:dyDescent="0.25">
      <c r="A64" s="28" t="s">
        <v>470</v>
      </c>
      <c r="B64" s="29" t="s">
        <v>15</v>
      </c>
      <c r="C64" s="30" t="s">
        <v>457</v>
      </c>
      <c r="D64" s="30" t="s">
        <v>471</v>
      </c>
      <c r="E64" s="30" t="s">
        <v>472</v>
      </c>
      <c r="F64" s="29" t="s">
        <v>45</v>
      </c>
      <c r="G64" s="29" t="s">
        <v>46</v>
      </c>
      <c r="H64" s="29" t="s">
        <v>78</v>
      </c>
      <c r="I64" s="30" t="s">
        <v>473</v>
      </c>
      <c r="J64" s="30" t="s">
        <v>474</v>
      </c>
      <c r="K64" s="30" t="s">
        <v>475</v>
      </c>
    </row>
    <row r="65" spans="1:11" ht="57.75" customHeight="1" x14ac:dyDescent="0.25">
      <c r="A65" s="28" t="s">
        <v>476</v>
      </c>
      <c r="B65" s="29" t="s">
        <v>15</v>
      </c>
      <c r="C65" s="30" t="s">
        <v>457</v>
      </c>
      <c r="D65" s="30" t="s">
        <v>477</v>
      </c>
      <c r="E65" s="30" t="s">
        <v>478</v>
      </c>
      <c r="F65" s="29" t="s">
        <v>54</v>
      </c>
      <c r="G65" s="29" t="s">
        <v>176</v>
      </c>
      <c r="H65" s="29" t="s">
        <v>479</v>
      </c>
      <c r="I65" s="30" t="s">
        <v>480</v>
      </c>
      <c r="J65" s="30" t="s">
        <v>481</v>
      </c>
      <c r="K65" s="30" t="s">
        <v>482</v>
      </c>
    </row>
    <row r="66" spans="1:11" ht="57.75" customHeight="1" x14ac:dyDescent="0.25">
      <c r="A66" s="28" t="s">
        <v>483</v>
      </c>
      <c r="B66" s="29" t="s">
        <v>15</v>
      </c>
      <c r="C66" s="30" t="s">
        <v>457</v>
      </c>
      <c r="D66" s="30" t="s">
        <v>484</v>
      </c>
      <c r="E66" s="30" t="s">
        <v>485</v>
      </c>
      <c r="F66" s="29" t="s">
        <v>127</v>
      </c>
      <c r="G66" s="29" t="s">
        <v>63</v>
      </c>
      <c r="H66" s="29" t="s">
        <v>85</v>
      </c>
      <c r="I66" s="30" t="s">
        <v>486</v>
      </c>
      <c r="J66" s="30" t="s">
        <v>487</v>
      </c>
      <c r="K66" s="30" t="s">
        <v>488</v>
      </c>
    </row>
    <row r="67" spans="1:11" ht="57.75" customHeight="1" x14ac:dyDescent="0.25">
      <c r="A67" s="28" t="s">
        <v>489</v>
      </c>
      <c r="B67" s="29" t="s">
        <v>15</v>
      </c>
      <c r="C67" s="30" t="s">
        <v>457</v>
      </c>
      <c r="D67" s="30" t="s">
        <v>490</v>
      </c>
      <c r="E67" s="30" t="s">
        <v>491</v>
      </c>
      <c r="F67" s="29" t="s">
        <v>45</v>
      </c>
      <c r="G67" s="29" t="s">
        <v>63</v>
      </c>
      <c r="H67" s="29" t="s">
        <v>492</v>
      </c>
      <c r="I67" s="30" t="s">
        <v>493</v>
      </c>
      <c r="J67" s="30" t="s">
        <v>494</v>
      </c>
      <c r="K67" s="30" t="s">
        <v>495</v>
      </c>
    </row>
    <row r="68" spans="1:11" ht="57.75" customHeight="1" x14ac:dyDescent="0.25">
      <c r="A68" s="28" t="s">
        <v>496</v>
      </c>
      <c r="B68" s="29" t="s">
        <v>15</v>
      </c>
      <c r="C68" s="30" t="s">
        <v>497</v>
      </c>
      <c r="D68" s="30" t="s">
        <v>498</v>
      </c>
      <c r="E68" s="30" t="s">
        <v>499</v>
      </c>
      <c r="F68" s="29" t="s">
        <v>45</v>
      </c>
      <c r="G68" s="29" t="s">
        <v>55</v>
      </c>
      <c r="H68" s="29" t="s">
        <v>78</v>
      </c>
      <c r="I68" s="30" t="s">
        <v>500</v>
      </c>
      <c r="J68" s="30" t="s">
        <v>501</v>
      </c>
      <c r="K68" s="30" t="s">
        <v>502</v>
      </c>
    </row>
    <row r="69" spans="1:11" ht="57.75" customHeight="1" x14ac:dyDescent="0.25">
      <c r="A69" s="28" t="s">
        <v>503</v>
      </c>
      <c r="B69" s="29" t="s">
        <v>15</v>
      </c>
      <c r="C69" s="30" t="s">
        <v>497</v>
      </c>
      <c r="D69" s="30" t="s">
        <v>504</v>
      </c>
      <c r="E69" s="30" t="s">
        <v>505</v>
      </c>
      <c r="F69" s="29" t="s">
        <v>45</v>
      </c>
      <c r="G69" s="29" t="s">
        <v>55</v>
      </c>
      <c r="H69" s="29" t="s">
        <v>100</v>
      </c>
      <c r="I69" s="30" t="s">
        <v>506</v>
      </c>
      <c r="J69" s="30" t="s">
        <v>507</v>
      </c>
      <c r="K69" s="30" t="s">
        <v>508</v>
      </c>
    </row>
    <row r="70" spans="1:11" ht="57.75" customHeight="1" x14ac:dyDescent="0.25">
      <c r="A70" s="28" t="s">
        <v>509</v>
      </c>
      <c r="B70" s="29" t="s">
        <v>15</v>
      </c>
      <c r="C70" s="30" t="s">
        <v>497</v>
      </c>
      <c r="D70" s="30" t="s">
        <v>510</v>
      </c>
      <c r="E70" s="30" t="s">
        <v>511</v>
      </c>
      <c r="F70" s="29" t="s">
        <v>45</v>
      </c>
      <c r="G70" s="29" t="s">
        <v>55</v>
      </c>
      <c r="H70" s="29" t="s">
        <v>305</v>
      </c>
      <c r="I70" s="30" t="s">
        <v>512</v>
      </c>
      <c r="J70" s="30" t="s">
        <v>513</v>
      </c>
      <c r="K70" s="30" t="s">
        <v>514</v>
      </c>
    </row>
    <row r="71" spans="1:11" ht="57.75" customHeight="1" x14ac:dyDescent="0.25">
      <c r="A71" s="28" t="s">
        <v>515</v>
      </c>
      <c r="B71" s="29" t="s">
        <v>15</v>
      </c>
      <c r="C71" s="30" t="s">
        <v>497</v>
      </c>
      <c r="D71" s="30" t="s">
        <v>516</v>
      </c>
      <c r="E71" s="30" t="s">
        <v>517</v>
      </c>
      <c r="F71" s="29" t="s">
        <v>45</v>
      </c>
      <c r="G71" s="29" t="s">
        <v>63</v>
      </c>
      <c r="H71" s="29" t="s">
        <v>518</v>
      </c>
      <c r="I71" s="30" t="s">
        <v>519</v>
      </c>
      <c r="J71" s="30" t="s">
        <v>520</v>
      </c>
      <c r="K71" s="30" t="s">
        <v>521</v>
      </c>
    </row>
    <row r="72" spans="1:11" ht="57.75" customHeight="1" x14ac:dyDescent="0.25">
      <c r="A72" s="28" t="s">
        <v>522</v>
      </c>
      <c r="B72" s="29" t="s">
        <v>15</v>
      </c>
      <c r="C72" s="30" t="s">
        <v>497</v>
      </c>
      <c r="D72" s="30" t="s">
        <v>523</v>
      </c>
      <c r="E72" s="30" t="s">
        <v>524</v>
      </c>
      <c r="F72" s="29" t="s">
        <v>45</v>
      </c>
      <c r="G72" s="29" t="s">
        <v>46</v>
      </c>
      <c r="H72" s="29" t="s">
        <v>136</v>
      </c>
      <c r="I72" s="30" t="s">
        <v>525</v>
      </c>
      <c r="J72" s="30" t="s">
        <v>526</v>
      </c>
      <c r="K72" s="30" t="s">
        <v>527</v>
      </c>
    </row>
    <row r="73" spans="1:11" ht="57.75" customHeight="1" x14ac:dyDescent="0.25">
      <c r="A73" s="28" t="s">
        <v>528</v>
      </c>
      <c r="B73" s="29" t="s">
        <v>15</v>
      </c>
      <c r="C73" s="30" t="s">
        <v>497</v>
      </c>
      <c r="D73" s="30" t="s">
        <v>529</v>
      </c>
      <c r="E73" s="30" t="s">
        <v>530</v>
      </c>
      <c r="F73" s="29" t="s">
        <v>386</v>
      </c>
      <c r="G73" s="29" t="s">
        <v>55</v>
      </c>
      <c r="H73" s="29" t="s">
        <v>400</v>
      </c>
      <c r="I73" s="30" t="s">
        <v>531</v>
      </c>
      <c r="J73" s="30" t="s">
        <v>532</v>
      </c>
      <c r="K73" s="30" t="s">
        <v>533</v>
      </c>
    </row>
    <row r="74" spans="1:11" ht="57.75" customHeight="1" x14ac:dyDescent="0.25">
      <c r="A74" s="28" t="s">
        <v>534</v>
      </c>
      <c r="B74" s="29" t="s">
        <v>15</v>
      </c>
      <c r="C74" s="30" t="s">
        <v>535</v>
      </c>
      <c r="D74" s="30" t="s">
        <v>536</v>
      </c>
      <c r="E74" s="30" t="s">
        <v>537</v>
      </c>
      <c r="F74" s="29" t="s">
        <v>54</v>
      </c>
      <c r="G74" s="29" t="s">
        <v>176</v>
      </c>
      <c r="H74" s="29" t="s">
        <v>177</v>
      </c>
      <c r="I74" s="30" t="s">
        <v>538</v>
      </c>
      <c r="J74" s="30" t="s">
        <v>539</v>
      </c>
      <c r="K74" s="30" t="s">
        <v>540</v>
      </c>
    </row>
    <row r="75" spans="1:11" ht="57.75" customHeight="1" x14ac:dyDescent="0.25">
      <c r="A75" s="28" t="s">
        <v>541</v>
      </c>
      <c r="B75" s="29" t="s">
        <v>15</v>
      </c>
      <c r="C75" s="30" t="s">
        <v>535</v>
      </c>
      <c r="D75" s="30" t="s">
        <v>542</v>
      </c>
      <c r="E75" s="30" t="s">
        <v>543</v>
      </c>
      <c r="F75" s="29" t="s">
        <v>54</v>
      </c>
      <c r="G75" s="29" t="s">
        <v>176</v>
      </c>
      <c r="H75" s="29" t="s">
        <v>177</v>
      </c>
      <c r="I75" s="30" t="s">
        <v>544</v>
      </c>
      <c r="J75" s="30" t="s">
        <v>545</v>
      </c>
      <c r="K75" s="30" t="s">
        <v>546</v>
      </c>
    </row>
    <row r="76" spans="1:11" ht="57.75" customHeight="1" x14ac:dyDescent="0.25">
      <c r="A76" s="28" t="s">
        <v>547</v>
      </c>
      <c r="B76" s="29" t="s">
        <v>15</v>
      </c>
      <c r="C76" s="30" t="s">
        <v>535</v>
      </c>
      <c r="D76" s="30" t="s">
        <v>548</v>
      </c>
      <c r="E76" s="30" t="s">
        <v>549</v>
      </c>
      <c r="F76" s="29" t="s">
        <v>54</v>
      </c>
      <c r="G76" s="29" t="s">
        <v>55</v>
      </c>
      <c r="H76" s="29" t="s">
        <v>550</v>
      </c>
      <c r="I76" s="30" t="s">
        <v>551</v>
      </c>
      <c r="J76" s="30" t="s">
        <v>552</v>
      </c>
      <c r="K76" s="30" t="s">
        <v>553</v>
      </c>
    </row>
    <row r="77" spans="1:11" ht="57.75" customHeight="1" x14ac:dyDescent="0.25">
      <c r="A77" s="28" t="s">
        <v>554</v>
      </c>
      <c r="B77" s="29" t="s">
        <v>15</v>
      </c>
      <c r="C77" s="30" t="s">
        <v>535</v>
      </c>
      <c r="D77" s="30" t="s">
        <v>555</v>
      </c>
      <c r="E77" s="30" t="s">
        <v>556</v>
      </c>
      <c r="F77" s="29" t="s">
        <v>54</v>
      </c>
      <c r="G77" s="29" t="s">
        <v>55</v>
      </c>
      <c r="H77" s="29" t="s">
        <v>236</v>
      </c>
      <c r="I77" s="30" t="s">
        <v>237</v>
      </c>
      <c r="J77" s="30" t="s">
        <v>557</v>
      </c>
      <c r="K77" s="30" t="s">
        <v>558</v>
      </c>
    </row>
    <row r="78" spans="1:11" ht="57.75" customHeight="1" x14ac:dyDescent="0.25">
      <c r="A78" s="28" t="s">
        <v>559</v>
      </c>
      <c r="B78" s="29" t="s">
        <v>15</v>
      </c>
      <c r="C78" s="30" t="s">
        <v>535</v>
      </c>
      <c r="D78" s="30" t="s">
        <v>560</v>
      </c>
      <c r="E78" s="30" t="s">
        <v>561</v>
      </c>
      <c r="F78" s="29" t="s">
        <v>127</v>
      </c>
      <c r="G78" s="29" t="s">
        <v>63</v>
      </c>
      <c r="H78" s="29" t="s">
        <v>562</v>
      </c>
      <c r="I78" s="30" t="s">
        <v>563</v>
      </c>
      <c r="J78" s="30" t="s">
        <v>564</v>
      </c>
      <c r="K78" s="30" t="s">
        <v>565</v>
      </c>
    </row>
    <row r="79" spans="1:11" ht="57.75" customHeight="1" x14ac:dyDescent="0.25">
      <c r="A79" s="28" t="s">
        <v>566</v>
      </c>
      <c r="B79" s="29" t="s">
        <v>15</v>
      </c>
      <c r="C79" s="30" t="s">
        <v>535</v>
      </c>
      <c r="D79" s="30" t="s">
        <v>567</v>
      </c>
      <c r="E79" s="30" t="s">
        <v>568</v>
      </c>
      <c r="F79" s="29" t="s">
        <v>386</v>
      </c>
      <c r="G79" s="29" t="s">
        <v>63</v>
      </c>
      <c r="H79" s="29" t="s">
        <v>78</v>
      </c>
      <c r="I79" s="30" t="s">
        <v>569</v>
      </c>
      <c r="J79" s="30" t="s">
        <v>570</v>
      </c>
      <c r="K79" s="30" t="s">
        <v>571</v>
      </c>
    </row>
    <row r="80" spans="1:11" ht="57.75" customHeight="1" x14ac:dyDescent="0.25">
      <c r="A80" s="31" t="s">
        <v>572</v>
      </c>
      <c r="B80" s="32" t="s">
        <v>18</v>
      </c>
      <c r="C80" s="33" t="s">
        <v>573</v>
      </c>
      <c r="D80" s="33" t="s">
        <v>574</v>
      </c>
      <c r="E80" s="33" t="s">
        <v>575</v>
      </c>
      <c r="F80" s="32" t="s">
        <v>45</v>
      </c>
      <c r="G80" s="32" t="s">
        <v>55</v>
      </c>
      <c r="H80" s="32" t="s">
        <v>100</v>
      </c>
      <c r="I80" s="33" t="s">
        <v>576</v>
      </c>
      <c r="J80" s="33" t="s">
        <v>577</v>
      </c>
      <c r="K80" s="33" t="s">
        <v>578</v>
      </c>
    </row>
    <row r="81" spans="1:11" ht="57.75" customHeight="1" x14ac:dyDescent="0.25">
      <c r="A81" s="31" t="s">
        <v>579</v>
      </c>
      <c r="B81" s="32" t="s">
        <v>18</v>
      </c>
      <c r="C81" s="33" t="s">
        <v>573</v>
      </c>
      <c r="D81" s="33" t="s">
        <v>580</v>
      </c>
      <c r="E81" s="33" t="s">
        <v>581</v>
      </c>
      <c r="F81" s="32" t="s">
        <v>45</v>
      </c>
      <c r="G81" s="32" t="s">
        <v>55</v>
      </c>
      <c r="H81" s="32" t="s">
        <v>136</v>
      </c>
      <c r="I81" s="33" t="s">
        <v>582</v>
      </c>
      <c r="J81" s="33" t="s">
        <v>583</v>
      </c>
      <c r="K81" s="33" t="s">
        <v>584</v>
      </c>
    </row>
    <row r="82" spans="1:11" ht="57.75" customHeight="1" x14ac:dyDescent="0.25">
      <c r="A82" s="31" t="s">
        <v>585</v>
      </c>
      <c r="B82" s="32" t="s">
        <v>18</v>
      </c>
      <c r="C82" s="33" t="s">
        <v>573</v>
      </c>
      <c r="D82" s="33" t="s">
        <v>586</v>
      </c>
      <c r="E82" s="33" t="s">
        <v>587</v>
      </c>
      <c r="F82" s="32" t="s">
        <v>45</v>
      </c>
      <c r="G82" s="32" t="s">
        <v>588</v>
      </c>
      <c r="H82" s="32" t="s">
        <v>589</v>
      </c>
      <c r="I82" s="33" t="s">
        <v>590</v>
      </c>
      <c r="J82" s="33" t="s">
        <v>591</v>
      </c>
      <c r="K82" s="33" t="s">
        <v>592</v>
      </c>
    </row>
    <row r="83" spans="1:11" ht="57.75" customHeight="1" x14ac:dyDescent="0.25">
      <c r="A83" s="31" t="s">
        <v>593</v>
      </c>
      <c r="B83" s="32" t="s">
        <v>18</v>
      </c>
      <c r="C83" s="33" t="s">
        <v>573</v>
      </c>
      <c r="D83" s="33" t="s">
        <v>594</v>
      </c>
      <c r="E83" s="33" t="s">
        <v>595</v>
      </c>
      <c r="F83" s="32" t="s">
        <v>45</v>
      </c>
      <c r="G83" s="32" t="s">
        <v>55</v>
      </c>
      <c r="H83" s="32" t="s">
        <v>85</v>
      </c>
      <c r="I83" s="33" t="s">
        <v>596</v>
      </c>
      <c r="J83" s="33" t="s">
        <v>597</v>
      </c>
      <c r="K83" s="33" t="s">
        <v>598</v>
      </c>
    </row>
    <row r="84" spans="1:11" ht="57.75" customHeight="1" x14ac:dyDescent="0.25">
      <c r="A84" s="31" t="s">
        <v>599</v>
      </c>
      <c r="B84" s="32" t="s">
        <v>18</v>
      </c>
      <c r="C84" s="33" t="s">
        <v>573</v>
      </c>
      <c r="D84" s="33" t="s">
        <v>600</v>
      </c>
      <c r="E84" s="33" t="s">
        <v>601</v>
      </c>
      <c r="F84" s="32" t="s">
        <v>45</v>
      </c>
      <c r="G84" s="32" t="s">
        <v>46</v>
      </c>
      <c r="H84" s="32" t="s">
        <v>136</v>
      </c>
      <c r="I84" s="33" t="s">
        <v>602</v>
      </c>
      <c r="J84" s="33" t="s">
        <v>603</v>
      </c>
      <c r="K84" s="33" t="s">
        <v>604</v>
      </c>
    </row>
    <row r="85" spans="1:11" ht="57.75" customHeight="1" x14ac:dyDescent="0.25">
      <c r="A85" s="31" t="s">
        <v>605</v>
      </c>
      <c r="B85" s="32" t="s">
        <v>18</v>
      </c>
      <c r="C85" s="33" t="s">
        <v>573</v>
      </c>
      <c r="D85" s="33" t="s">
        <v>606</v>
      </c>
      <c r="E85" s="33" t="s">
        <v>607</v>
      </c>
      <c r="F85" s="32" t="s">
        <v>93</v>
      </c>
      <c r="G85" s="32" t="s">
        <v>63</v>
      </c>
      <c r="H85" s="32" t="s">
        <v>85</v>
      </c>
      <c r="I85" s="33" t="s">
        <v>608</v>
      </c>
      <c r="J85" s="33" t="s">
        <v>609</v>
      </c>
      <c r="K85" s="33" t="s">
        <v>610</v>
      </c>
    </row>
    <row r="86" spans="1:11" ht="57.75" customHeight="1" x14ac:dyDescent="0.25">
      <c r="A86" s="31" t="s">
        <v>611</v>
      </c>
      <c r="B86" s="32" t="s">
        <v>18</v>
      </c>
      <c r="C86" s="33" t="s">
        <v>612</v>
      </c>
      <c r="D86" s="33" t="s">
        <v>613</v>
      </c>
      <c r="E86" s="33" t="s">
        <v>614</v>
      </c>
      <c r="F86" s="32" t="s">
        <v>45</v>
      </c>
      <c r="G86" s="32" t="s">
        <v>46</v>
      </c>
      <c r="H86" s="32" t="s">
        <v>615</v>
      </c>
      <c r="I86" s="33" t="s">
        <v>616</v>
      </c>
      <c r="J86" s="33" t="s">
        <v>617</v>
      </c>
      <c r="K86" s="33" t="s">
        <v>618</v>
      </c>
    </row>
    <row r="87" spans="1:11" ht="57.75" customHeight="1" x14ac:dyDescent="0.25">
      <c r="A87" s="31" t="s">
        <v>619</v>
      </c>
      <c r="B87" s="32" t="s">
        <v>18</v>
      </c>
      <c r="C87" s="33" t="s">
        <v>612</v>
      </c>
      <c r="D87" s="33" t="s">
        <v>620</v>
      </c>
      <c r="E87" s="33" t="s">
        <v>621</v>
      </c>
      <c r="F87" s="32" t="s">
        <v>45</v>
      </c>
      <c r="G87" s="32" t="s">
        <v>55</v>
      </c>
      <c r="H87" s="32" t="s">
        <v>622</v>
      </c>
      <c r="I87" s="33" t="s">
        <v>623</v>
      </c>
      <c r="J87" s="33" t="s">
        <v>624</v>
      </c>
      <c r="K87" s="33" t="s">
        <v>625</v>
      </c>
    </row>
    <row r="88" spans="1:11" ht="57.75" customHeight="1" x14ac:dyDescent="0.25">
      <c r="A88" s="31" t="s">
        <v>626</v>
      </c>
      <c r="B88" s="32" t="s">
        <v>18</v>
      </c>
      <c r="C88" s="33" t="s">
        <v>612</v>
      </c>
      <c r="D88" s="33" t="s">
        <v>627</v>
      </c>
      <c r="E88" s="33" t="s">
        <v>628</v>
      </c>
      <c r="F88" s="32" t="s">
        <v>45</v>
      </c>
      <c r="G88" s="32" t="s">
        <v>55</v>
      </c>
      <c r="H88" s="32" t="s">
        <v>100</v>
      </c>
      <c r="I88" s="33" t="s">
        <v>629</v>
      </c>
      <c r="J88" s="33" t="s">
        <v>630</v>
      </c>
      <c r="K88" s="33" t="s">
        <v>631</v>
      </c>
    </row>
    <row r="89" spans="1:11" ht="57.75" customHeight="1" x14ac:dyDescent="0.25">
      <c r="A89" s="31" t="s">
        <v>632</v>
      </c>
      <c r="B89" s="32" t="s">
        <v>18</v>
      </c>
      <c r="C89" s="33" t="s">
        <v>612</v>
      </c>
      <c r="D89" s="33" t="s">
        <v>633</v>
      </c>
      <c r="E89" s="33" t="s">
        <v>634</v>
      </c>
      <c r="F89" s="32" t="s">
        <v>54</v>
      </c>
      <c r="G89" s="32" t="s">
        <v>176</v>
      </c>
      <c r="H89" s="32" t="s">
        <v>177</v>
      </c>
      <c r="I89" s="33" t="s">
        <v>635</v>
      </c>
      <c r="J89" s="33" t="s">
        <v>636</v>
      </c>
      <c r="K89" s="33" t="s">
        <v>637</v>
      </c>
    </row>
    <row r="90" spans="1:11" ht="57.75" customHeight="1" x14ac:dyDescent="0.25">
      <c r="A90" s="31" t="s">
        <v>638</v>
      </c>
      <c r="B90" s="32" t="s">
        <v>18</v>
      </c>
      <c r="C90" s="33" t="s">
        <v>612</v>
      </c>
      <c r="D90" s="33" t="s">
        <v>639</v>
      </c>
      <c r="E90" s="33" t="s">
        <v>640</v>
      </c>
      <c r="F90" s="32" t="s">
        <v>45</v>
      </c>
      <c r="G90" s="32" t="s">
        <v>46</v>
      </c>
      <c r="H90" s="32" t="s">
        <v>136</v>
      </c>
      <c r="I90" s="33" t="s">
        <v>641</v>
      </c>
      <c r="J90" s="33" t="s">
        <v>642</v>
      </c>
      <c r="K90" s="33" t="s">
        <v>643</v>
      </c>
    </row>
    <row r="91" spans="1:11" ht="57.75" customHeight="1" x14ac:dyDescent="0.25">
      <c r="A91" s="31" t="s">
        <v>644</v>
      </c>
      <c r="B91" s="32" t="s">
        <v>18</v>
      </c>
      <c r="C91" s="33" t="s">
        <v>612</v>
      </c>
      <c r="D91" s="33" t="s">
        <v>645</v>
      </c>
      <c r="E91" s="33" t="s">
        <v>646</v>
      </c>
      <c r="F91" s="32" t="s">
        <v>386</v>
      </c>
      <c r="G91" s="32" t="s">
        <v>63</v>
      </c>
      <c r="H91" s="32" t="s">
        <v>647</v>
      </c>
      <c r="I91" s="33" t="s">
        <v>648</v>
      </c>
      <c r="J91" s="33" t="s">
        <v>649</v>
      </c>
      <c r="K91" s="33" t="s">
        <v>650</v>
      </c>
    </row>
    <row r="92" spans="1:11" ht="57.75" customHeight="1" x14ac:dyDescent="0.25">
      <c r="A92" s="31" t="s">
        <v>651</v>
      </c>
      <c r="B92" s="32" t="s">
        <v>18</v>
      </c>
      <c r="C92" s="33" t="s">
        <v>652</v>
      </c>
      <c r="D92" s="33" t="s">
        <v>653</v>
      </c>
      <c r="E92" s="33" t="s">
        <v>654</v>
      </c>
      <c r="F92" s="32" t="s">
        <v>45</v>
      </c>
      <c r="G92" s="32" t="s">
        <v>63</v>
      </c>
      <c r="H92" s="32" t="s">
        <v>78</v>
      </c>
      <c r="I92" s="33" t="s">
        <v>655</v>
      </c>
      <c r="J92" s="33" t="s">
        <v>656</v>
      </c>
      <c r="K92" s="33" t="s">
        <v>657</v>
      </c>
    </row>
    <row r="93" spans="1:11" ht="57.75" customHeight="1" x14ac:dyDescent="0.25">
      <c r="A93" s="31" t="s">
        <v>658</v>
      </c>
      <c r="B93" s="32" t="s">
        <v>18</v>
      </c>
      <c r="C93" s="33" t="s">
        <v>652</v>
      </c>
      <c r="D93" s="33" t="s">
        <v>659</v>
      </c>
      <c r="E93" s="33" t="s">
        <v>660</v>
      </c>
      <c r="F93" s="32" t="s">
        <v>45</v>
      </c>
      <c r="G93" s="32" t="s">
        <v>46</v>
      </c>
      <c r="H93" s="32" t="s">
        <v>100</v>
      </c>
      <c r="I93" s="33" t="s">
        <v>661</v>
      </c>
      <c r="J93" s="33" t="s">
        <v>662</v>
      </c>
      <c r="K93" s="33" t="s">
        <v>663</v>
      </c>
    </row>
    <row r="94" spans="1:11" ht="57.75" customHeight="1" x14ac:dyDescent="0.25">
      <c r="A94" s="31" t="s">
        <v>664</v>
      </c>
      <c r="B94" s="32" t="s">
        <v>18</v>
      </c>
      <c r="C94" s="33" t="s">
        <v>652</v>
      </c>
      <c r="D94" s="33" t="s">
        <v>665</v>
      </c>
      <c r="E94" s="33" t="s">
        <v>666</v>
      </c>
      <c r="F94" s="32" t="s">
        <v>45</v>
      </c>
      <c r="G94" s="32" t="s">
        <v>63</v>
      </c>
      <c r="H94" s="32" t="s">
        <v>667</v>
      </c>
      <c r="I94" s="33" t="s">
        <v>668</v>
      </c>
      <c r="J94" s="33" t="s">
        <v>669</v>
      </c>
      <c r="K94" s="33" t="s">
        <v>670</v>
      </c>
    </row>
    <row r="95" spans="1:11" ht="57.75" customHeight="1" x14ac:dyDescent="0.25">
      <c r="A95" s="31" t="s">
        <v>671</v>
      </c>
      <c r="B95" s="32" t="s">
        <v>18</v>
      </c>
      <c r="C95" s="33" t="s">
        <v>652</v>
      </c>
      <c r="D95" s="33" t="s">
        <v>672</v>
      </c>
      <c r="E95" s="33" t="s">
        <v>673</v>
      </c>
      <c r="F95" s="32" t="s">
        <v>54</v>
      </c>
      <c r="G95" s="32" t="s">
        <v>176</v>
      </c>
      <c r="H95" s="32" t="s">
        <v>674</v>
      </c>
      <c r="I95" s="33" t="s">
        <v>675</v>
      </c>
      <c r="J95" s="33" t="s">
        <v>676</v>
      </c>
      <c r="K95" s="33" t="s">
        <v>677</v>
      </c>
    </row>
    <row r="96" spans="1:11" ht="57.75" customHeight="1" x14ac:dyDescent="0.25">
      <c r="A96" s="31" t="s">
        <v>678</v>
      </c>
      <c r="B96" s="32" t="s">
        <v>18</v>
      </c>
      <c r="C96" s="33" t="s">
        <v>652</v>
      </c>
      <c r="D96" s="33" t="s">
        <v>679</v>
      </c>
      <c r="E96" s="33" t="s">
        <v>680</v>
      </c>
      <c r="F96" s="32" t="s">
        <v>45</v>
      </c>
      <c r="G96" s="32" t="s">
        <v>55</v>
      </c>
      <c r="H96" s="32" t="s">
        <v>681</v>
      </c>
      <c r="I96" s="33" t="s">
        <v>682</v>
      </c>
      <c r="J96" s="33" t="s">
        <v>683</v>
      </c>
      <c r="K96" s="33" t="s">
        <v>684</v>
      </c>
    </row>
    <row r="97" spans="1:11" ht="57.75" customHeight="1" x14ac:dyDescent="0.25">
      <c r="A97" s="31" t="s">
        <v>685</v>
      </c>
      <c r="B97" s="32" t="s">
        <v>18</v>
      </c>
      <c r="C97" s="33" t="s">
        <v>652</v>
      </c>
      <c r="D97" s="33" t="s">
        <v>686</v>
      </c>
      <c r="E97" s="33" t="s">
        <v>687</v>
      </c>
      <c r="F97" s="32" t="s">
        <v>45</v>
      </c>
      <c r="G97" s="32" t="s">
        <v>55</v>
      </c>
      <c r="H97" s="32" t="s">
        <v>100</v>
      </c>
      <c r="I97" s="33" t="s">
        <v>688</v>
      </c>
      <c r="J97" s="33" t="s">
        <v>689</v>
      </c>
      <c r="K97" s="33" t="s">
        <v>690</v>
      </c>
    </row>
  </sheetData>
  <pageMargins left="0.75" right="0.75" top="1" bottom="1" header="0.511811023622047" footer="0.511811023622047"/>
  <pageSetup paperSize="9" orientation="portrait" horizontalDpi="300" verticalDpi="300"/>
  <headerFooter>
    <oddFooter xml:space="preserve">&amp;C_x000D_&amp;1#&amp;"Arial"&amp;8&amp;K37424a Classification: Public
</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D31"/>
  <sheetViews>
    <sheetView showGridLines="0" zoomScaleNormal="100" workbookViewId="0"/>
  </sheetViews>
  <sheetFormatPr defaultColWidth="8.7109375" defaultRowHeight="15" x14ac:dyDescent="0.25"/>
  <cols>
    <col min="1" max="1" width="4" customWidth="1"/>
    <col min="2" max="2" width="16" customWidth="1"/>
    <col min="3" max="3" width="32" customWidth="1"/>
    <col min="4" max="4" width="14" customWidth="1"/>
  </cols>
  <sheetData>
    <row r="2" spans="2:4" ht="20.25" x14ac:dyDescent="0.3">
      <c r="B2" s="34" t="s">
        <v>691</v>
      </c>
    </row>
    <row r="3" spans="2:4" x14ac:dyDescent="0.25">
      <c r="B3" s="35" t="s">
        <v>692</v>
      </c>
    </row>
    <row r="5" spans="2:4" ht="15.75" x14ac:dyDescent="0.25">
      <c r="B5" s="36" t="s">
        <v>693</v>
      </c>
    </row>
    <row r="6" spans="2:4" x14ac:dyDescent="0.25">
      <c r="B6" s="37" t="s">
        <v>37</v>
      </c>
      <c r="C6" s="37" t="s">
        <v>4</v>
      </c>
      <c r="D6" s="37" t="s">
        <v>694</v>
      </c>
    </row>
    <row r="7" spans="2:4" x14ac:dyDescent="0.25">
      <c r="B7" s="38" t="s">
        <v>6</v>
      </c>
      <c r="C7" s="39">
        <v>3</v>
      </c>
      <c r="D7" s="40">
        <f>COUNTIF('Control Catalog'!$B$2:$B$97,B7)</f>
        <v>18</v>
      </c>
    </row>
    <row r="8" spans="2:4" x14ac:dyDescent="0.25">
      <c r="B8" s="41" t="s">
        <v>9</v>
      </c>
      <c r="C8" s="42">
        <v>3</v>
      </c>
      <c r="D8" s="43">
        <f>COUNTIF('Control Catalog'!$B$2:$B$97,B8)</f>
        <v>18</v>
      </c>
    </row>
    <row r="9" spans="2:4" x14ac:dyDescent="0.25">
      <c r="B9" s="44" t="s">
        <v>12</v>
      </c>
      <c r="C9" s="45">
        <v>4</v>
      </c>
      <c r="D9" s="46">
        <f>COUNTIF('Control Catalog'!$B$2:$B$97,B9)</f>
        <v>24</v>
      </c>
    </row>
    <row r="10" spans="2:4" x14ac:dyDescent="0.25">
      <c r="B10" s="47" t="s">
        <v>15</v>
      </c>
      <c r="C10" s="48">
        <v>3</v>
      </c>
      <c r="D10" s="49">
        <f>COUNTIF('Control Catalog'!$B$2:$B$97,B10)</f>
        <v>18</v>
      </c>
    </row>
    <row r="11" spans="2:4" x14ac:dyDescent="0.25">
      <c r="B11" s="50" t="s">
        <v>18</v>
      </c>
      <c r="C11" s="51">
        <v>3</v>
      </c>
      <c r="D11" s="52">
        <f>COUNTIF('Control Catalog'!$B$2:$B$97,B11)</f>
        <v>18</v>
      </c>
    </row>
    <row r="12" spans="2:4" x14ac:dyDescent="0.25">
      <c r="B12" s="53" t="s">
        <v>695</v>
      </c>
      <c r="C12" s="54"/>
      <c r="D12" s="55">
        <f>SUM(D7:D11)</f>
        <v>96</v>
      </c>
    </row>
    <row r="14" spans="2:4" ht="15.75" x14ac:dyDescent="0.25">
      <c r="B14" s="36" t="s">
        <v>696</v>
      </c>
    </row>
    <row r="15" spans="2:4" x14ac:dyDescent="0.25">
      <c r="B15" s="37" t="s">
        <v>38</v>
      </c>
      <c r="C15" s="37" t="s">
        <v>37</v>
      </c>
      <c r="D15" s="37" t="s">
        <v>694</v>
      </c>
    </row>
    <row r="16" spans="2:4" x14ac:dyDescent="0.25">
      <c r="B16" s="56" t="s">
        <v>133</v>
      </c>
      <c r="C16" s="56" t="s">
        <v>6</v>
      </c>
      <c r="D16" s="40">
        <f>COUNTIF('Control Catalog'!$C$2:$C$97,B16)</f>
        <v>6</v>
      </c>
    </row>
    <row r="17" spans="2:4" x14ac:dyDescent="0.25">
      <c r="B17" s="56" t="s">
        <v>90</v>
      </c>
      <c r="C17" s="56" t="s">
        <v>6</v>
      </c>
      <c r="D17" s="40">
        <f>COUNTIF('Control Catalog'!$C$2:$C$97,B17)</f>
        <v>6</v>
      </c>
    </row>
    <row r="18" spans="2:4" x14ac:dyDescent="0.25">
      <c r="B18" s="56" t="s">
        <v>42</v>
      </c>
      <c r="C18" s="56" t="s">
        <v>6</v>
      </c>
      <c r="D18" s="40">
        <f>COUNTIF('Control Catalog'!$C$2:$C$97,B18)</f>
        <v>6</v>
      </c>
    </row>
    <row r="19" spans="2:4" x14ac:dyDescent="0.25">
      <c r="B19" s="57" t="s">
        <v>254</v>
      </c>
      <c r="C19" s="57" t="s">
        <v>9</v>
      </c>
      <c r="D19" s="43">
        <f>COUNTIF('Control Catalog'!$C$2:$C$97,B19)</f>
        <v>6</v>
      </c>
    </row>
    <row r="20" spans="2:4" x14ac:dyDescent="0.25">
      <c r="B20" s="57" t="s">
        <v>213</v>
      </c>
      <c r="C20" s="57" t="s">
        <v>9</v>
      </c>
      <c r="D20" s="43">
        <f>COUNTIF('Control Catalog'!$C$2:$C$97,B20)</f>
        <v>6</v>
      </c>
    </row>
    <row r="21" spans="2:4" x14ac:dyDescent="0.25">
      <c r="B21" s="57" t="s">
        <v>173</v>
      </c>
      <c r="C21" s="57" t="s">
        <v>9</v>
      </c>
      <c r="D21" s="43">
        <f>COUNTIF('Control Catalog'!$C$2:$C$97,B21)</f>
        <v>6</v>
      </c>
    </row>
    <row r="22" spans="2:4" x14ac:dyDescent="0.25">
      <c r="B22" s="58" t="s">
        <v>418</v>
      </c>
      <c r="C22" s="58" t="s">
        <v>12</v>
      </c>
      <c r="D22" s="46">
        <f>COUNTIF('Control Catalog'!$C$2:$C$97,B22)</f>
        <v>6</v>
      </c>
    </row>
    <row r="23" spans="2:4" x14ac:dyDescent="0.25">
      <c r="B23" s="58" t="s">
        <v>296</v>
      </c>
      <c r="C23" s="58" t="s">
        <v>12</v>
      </c>
      <c r="D23" s="46">
        <f>COUNTIF('Control Catalog'!$C$2:$C$97,B23)</f>
        <v>6</v>
      </c>
    </row>
    <row r="24" spans="2:4" x14ac:dyDescent="0.25">
      <c r="B24" s="58" t="s">
        <v>376</v>
      </c>
      <c r="C24" s="58" t="s">
        <v>12</v>
      </c>
      <c r="D24" s="46">
        <f>COUNTIF('Control Catalog'!$C$2:$C$97,B24)</f>
        <v>6</v>
      </c>
    </row>
    <row r="25" spans="2:4" x14ac:dyDescent="0.25">
      <c r="B25" s="58" t="s">
        <v>335</v>
      </c>
      <c r="C25" s="58" t="s">
        <v>12</v>
      </c>
      <c r="D25" s="46">
        <f>COUNTIF('Control Catalog'!$C$2:$C$97,B25)</f>
        <v>6</v>
      </c>
    </row>
    <row r="26" spans="2:4" x14ac:dyDescent="0.25">
      <c r="B26" s="59" t="s">
        <v>497</v>
      </c>
      <c r="C26" s="59" t="s">
        <v>15</v>
      </c>
      <c r="D26" s="49">
        <f>COUNTIF('Control Catalog'!$C$2:$C$97,B26)</f>
        <v>6</v>
      </c>
    </row>
    <row r="27" spans="2:4" x14ac:dyDescent="0.25">
      <c r="B27" s="59" t="s">
        <v>457</v>
      </c>
      <c r="C27" s="59" t="s">
        <v>15</v>
      </c>
      <c r="D27" s="49">
        <f>COUNTIF('Control Catalog'!$C$2:$C$97,B27)</f>
        <v>6</v>
      </c>
    </row>
    <row r="28" spans="2:4" x14ac:dyDescent="0.25">
      <c r="B28" s="59" t="s">
        <v>535</v>
      </c>
      <c r="C28" s="59" t="s">
        <v>15</v>
      </c>
      <c r="D28" s="49">
        <f>COUNTIF('Control Catalog'!$C$2:$C$97,B28)</f>
        <v>6</v>
      </c>
    </row>
    <row r="29" spans="2:4" x14ac:dyDescent="0.25">
      <c r="B29" s="60" t="s">
        <v>612</v>
      </c>
      <c r="C29" s="60" t="s">
        <v>18</v>
      </c>
      <c r="D29" s="52">
        <f>COUNTIF('Control Catalog'!$C$2:$C$97,B29)</f>
        <v>6</v>
      </c>
    </row>
    <row r="30" spans="2:4" x14ac:dyDescent="0.25">
      <c r="B30" s="60" t="s">
        <v>652</v>
      </c>
      <c r="C30" s="60" t="s">
        <v>18</v>
      </c>
      <c r="D30" s="52">
        <f>COUNTIF('Control Catalog'!$C$2:$C$97,B30)</f>
        <v>6</v>
      </c>
    </row>
    <row r="31" spans="2:4" x14ac:dyDescent="0.25">
      <c r="B31" s="60" t="s">
        <v>573</v>
      </c>
      <c r="C31" s="60" t="s">
        <v>18</v>
      </c>
      <c r="D31" s="52">
        <f>COUNTIF('Control Catalog'!$C$2:$C$97,B31)</f>
        <v>6</v>
      </c>
    </row>
  </sheetData>
  <pageMargins left="0.75" right="0.75" top="1" bottom="1" header="0.511811023622047" footer="0.511811023622047"/>
  <pageSetup paperSize="9" orientation="portrait" horizontalDpi="300" verticalDpi="300"/>
  <headerFooter>
    <oddFooter xml:space="preserve">&amp;C_x000D_&amp;1#&amp;"Arial"&amp;8&amp;K37424a Classification: Public
</oddFooter>
  </headerFooter>
  <drawing r:id="rId1"/>
</worksheet>
</file>

<file path=docMetadata/LabelInfo.xml><?xml version="1.0" encoding="utf-8"?>
<clbl:labelList xmlns:clbl="http://schemas.microsoft.com/office/2020/mipLabelMetadata">
  <clbl:label id="{c54a7a20-be22-4e5c-97bd-277f45e221d0}" enabled="1" method="Privileged" siteId="{c0701940-7b3f-4116-a59f-159078bc3c63}" contentBits="2"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Control Catalog</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Thanagit Thongdangkayasit</cp:lastModifiedBy>
  <cp:revision>1</cp:revision>
  <dcterms:created xsi:type="dcterms:W3CDTF">2026-09-04T09:31:15Z</dcterms:created>
  <dcterms:modified xsi:type="dcterms:W3CDTF">2026-09-04T10:05:33Z</dcterms:modified>
  <dc:language>en-US</dc:language>
</cp:coreProperties>
</file>